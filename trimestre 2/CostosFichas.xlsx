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prendiz\Desktop\XD\RoyalPets\trimestre 2\"/>
    </mc:Choice>
  </mc:AlternateContent>
  <xr:revisionPtr revIDLastSave="0" documentId="8_{2E19219F-EDA0-469F-9411-7345D32BBC55}" xr6:coauthVersionLast="47" xr6:coauthVersionMax="47" xr10:uidLastSave="{00000000-0000-0000-0000-000000000000}"/>
  <bookViews>
    <workbookView xWindow="-120" yWindow="-120" windowWidth="29040" windowHeight="15720" xr2:uid="{E11BA5A1-A161-48B3-A771-26A7DBB69ABE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19" i="1" l="1"/>
  <c r="F19" i="1"/>
  <c r="E19" i="1"/>
  <c r="D19" i="1"/>
  <c r="G18" i="1"/>
  <c r="F18" i="1"/>
  <c r="E18" i="1"/>
  <c r="D18" i="1"/>
  <c r="G17" i="1"/>
  <c r="F17" i="1"/>
  <c r="E17" i="1"/>
  <c r="D17" i="1"/>
  <c r="G16" i="1"/>
  <c r="F16" i="1"/>
  <c r="E16" i="1"/>
  <c r="D16" i="1"/>
  <c r="G15" i="1"/>
  <c r="F15" i="1"/>
  <c r="E15" i="1"/>
  <c r="D15" i="1"/>
  <c r="G14" i="1"/>
  <c r="F14" i="1"/>
  <c r="E14" i="1"/>
  <c r="D14" i="1"/>
  <c r="G13" i="1"/>
  <c r="F13" i="1"/>
  <c r="E13" i="1"/>
  <c r="D13" i="1"/>
  <c r="G12" i="1"/>
  <c r="F12" i="1"/>
  <c r="E12" i="1"/>
  <c r="D12" i="1"/>
  <c r="G11" i="1"/>
  <c r="F11" i="1"/>
  <c r="E11" i="1"/>
  <c r="D11" i="1"/>
  <c r="G10" i="1"/>
  <c r="G20" i="1" s="1"/>
  <c r="F10" i="1"/>
  <c r="F20" i="1" s="1"/>
  <c r="E10" i="1"/>
  <c r="E20" i="1" s="1"/>
  <c r="D10" i="1"/>
  <c r="D20" i="1" s="1"/>
  <c r="G3" i="1" s="1"/>
  <c r="F3" i="1" s="1"/>
</calcChain>
</file>

<file path=xl/sharedStrings.xml><?xml version="1.0" encoding="utf-8"?>
<sst xmlns="http://schemas.openxmlformats.org/spreadsheetml/2006/main" count="116" uniqueCount="79">
  <si>
    <t>Rol</t>
  </si>
  <si>
    <t>Fase principal.</t>
  </si>
  <si>
    <t>Horas estimadas</t>
  </si>
  <si>
    <t>Salario mensual promedio (COP)</t>
  </si>
  <si>
    <t>Costo por hora (COP)¹</t>
  </si>
  <si>
    <t>Costo total estimado (COP)</t>
  </si>
  <si>
    <t>Analista</t>
  </si>
  <si>
    <t>Requisitos, análisis</t>
  </si>
  <si>
    <t>120hrs</t>
  </si>
  <si>
    <t>Arquitecto</t>
  </si>
  <si>
    <t>Diseño, arquitectura</t>
  </si>
  <si>
    <t>80hrs</t>
  </si>
  <si>
    <t>Desarrollador</t>
  </si>
  <si>
    <t>Implementación, codificación</t>
  </si>
  <si>
    <t>320hrs</t>
  </si>
  <si>
    <t>Tester / QA</t>
  </si>
  <si>
    <t>Pruebas, control calidad</t>
  </si>
  <si>
    <t>Prestaciones analista.</t>
  </si>
  <si>
    <t xml:space="preserve">Porcentaje </t>
  </si>
  <si>
    <t xml:space="preserve">Desarrollador </t>
  </si>
  <si>
    <t>Salud</t>
  </si>
  <si>
    <t xml:space="preserve">Pensión </t>
  </si>
  <si>
    <t>ARL</t>
  </si>
  <si>
    <t>Caja de compensación</t>
  </si>
  <si>
    <t>SENA</t>
  </si>
  <si>
    <t>ICBF</t>
  </si>
  <si>
    <t>Prima</t>
  </si>
  <si>
    <t xml:space="preserve">Cesantías </t>
  </si>
  <si>
    <t xml:space="preserve">Interéses cesantías </t>
  </si>
  <si>
    <t>Vacaciones</t>
  </si>
  <si>
    <t>Total</t>
  </si>
  <si>
    <t>Computador #1 -  "Mas potente"</t>
  </si>
  <si>
    <t xml:space="preserve">Computador #2 </t>
  </si>
  <si>
    <t>Computador #3 "Mas economico"</t>
  </si>
  <si>
    <t>Componentes</t>
  </si>
  <si>
    <t xml:space="preserve">Precio </t>
  </si>
  <si>
    <t>Detalles</t>
  </si>
  <si>
    <t>CPU</t>
  </si>
  <si>
    <t>AMD Ryzen 7 7700X</t>
  </si>
  <si>
    <t>Alto rendimiento multinúcleo para compilación y virtualización.</t>
  </si>
  <si>
    <t>Excelente rendimiento para compilar código y ejecutar contenedores.</t>
  </si>
  <si>
    <t>Intel Core i7‑13700F</t>
  </si>
  <si>
    <t>Alto rendimiento para análisis de datos y pruebas simultáneas.</t>
  </si>
  <si>
    <t>GPU</t>
  </si>
  <si>
    <t>GIGABYTE GeForce RTX 4060 WINDFORCE OC 8GB</t>
  </si>
  <si>
    <t>Acelera IA, cálculos paralelos y múltiples monitores.</t>
  </si>
  <si>
    <t>N/A</t>
  </si>
  <si>
    <t>RAM</t>
  </si>
  <si>
    <t>Corsair Vengeance DDR5 32GB (2x16GB) 6000MHz</t>
  </si>
  <si>
    <t>Mucha memoria para multitarea y contenedores.</t>
  </si>
  <si>
    <t>Corsair Vengeance DDR5 32GB (2x16GB)</t>
  </si>
  <si>
    <t>Memoria suficiente para multitarea y entornos de desarrollo.</t>
  </si>
  <si>
    <t>Corsair Vengeance DDR5 32GB</t>
  </si>
  <si>
    <t>Memoria suficiente para múltiples herramientas y navegadores.</t>
  </si>
  <si>
    <t>SSD</t>
  </si>
  <si>
    <t>Samsung 980 Pro 1TB NVMe</t>
  </si>
  <si>
    <t>Lectura ultrarrápida para proyectos y bases de datos.</t>
  </si>
  <si>
    <t>Alta velocidad para cargar proyectos y bases de datos.</t>
  </si>
  <si>
    <t>Almacenamiento rápido para pruebas y manejo de datos.</t>
  </si>
  <si>
    <t>Motherboard</t>
  </si>
  <si>
    <t>Gigabyte B650 Eagle AX</t>
  </si>
  <si>
    <t>Compatible con Ryzen 7000 y expansión moderna.</t>
  </si>
  <si>
    <t>Soporte moderno y buena conectividad para expansión futura.</t>
  </si>
  <si>
    <t>ASRock B650M‑HDV </t>
  </si>
  <si>
    <t>Placa base económica con soporte para componentes modernos.</t>
  </si>
  <si>
    <t>Fuente de pdr</t>
  </si>
  <si>
    <t>Aerocool Dorado 750W 80+ Gold </t>
  </si>
  <si>
    <t>Energía estable y eficiente para componentes potentes.</t>
  </si>
  <si>
    <t>Aerocool Dorado 750W</t>
  </si>
  <si>
    <t>Fuente eficiente y estable para el sistema.</t>
  </si>
  <si>
    <t>Gamdias 750W Gold</t>
  </si>
  <si>
    <t>Fuente eficiente para estabilidad del sistema.</t>
  </si>
  <si>
    <t>Gabinete</t>
  </si>
  <si>
    <t>Xtech XT‑GMR3 Deimos ATX</t>
  </si>
  <si>
    <t>Buen flujo de aire y espacio para expansión.</t>
  </si>
  <si>
    <t>Xtech XT‑GMR3 Deimos</t>
  </si>
  <si>
    <t>Gabinete económico con buen flujo de aire.</t>
  </si>
  <si>
    <t>Gabinete con ventilación adecuada y espacio para componentes.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</si>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</sst>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6" formatCode="&quot;$&quot;\ #,##0;[Red]\-&quot;$&quot;\ #,##0"/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  <numFmt numFmtId="165" formatCode="_-[$$-240A]\ * #,##0.00_-;\-[$$-240A]\ * #,##0.00_-;_-[$$-240A]\ * &quot;-&quot;??_-;_-@_-"/>
    <numFmt numFmtId="166" formatCode="0.0%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5">
    <xf numFmtId="0" fontId="0" fillId="0" borderId="0" xfId="0"/>
    <xf numFmtId="164" fontId="0" fillId="0" borderId="0" xfId="1" applyNumberFormat="1" applyFont="1"/>
    <xf numFmtId="0" fontId="2" fillId="2" borderId="1" xfId="0" applyFont="1" applyFill="1" applyBorder="1"/>
    <xf numFmtId="164" fontId="2" fillId="2" borderId="1" xfId="1" applyNumberFormat="1" applyFont="1" applyFill="1" applyBorder="1" applyAlignment="1">
      <alignment horizontal="center" wrapText="1"/>
    </xf>
    <xf numFmtId="0" fontId="2" fillId="2" borderId="1" xfId="0" applyFont="1" applyFill="1" applyBorder="1" applyAlignment="1">
      <alignment horizontal="center"/>
    </xf>
    <xf numFmtId="0" fontId="3" fillId="3" borderId="1" xfId="0" applyFont="1" applyFill="1" applyBorder="1"/>
    <xf numFmtId="0" fontId="0" fillId="0" borderId="1" xfId="0" applyBorder="1"/>
    <xf numFmtId="0" fontId="0" fillId="0" borderId="1" xfId="0" applyBorder="1" applyAlignment="1">
      <alignment vertical="center" wrapText="1"/>
    </xf>
    <xf numFmtId="164" fontId="0" fillId="0" borderId="2" xfId="1" applyNumberFormat="1" applyFont="1" applyBorder="1" applyAlignment="1">
      <alignment horizontal="left" vertical="center"/>
    </xf>
    <xf numFmtId="165" fontId="0" fillId="0" borderId="1" xfId="1" applyNumberFormat="1" applyFont="1" applyBorder="1" applyAlignment="1">
      <alignment horizontal="left"/>
    </xf>
    <xf numFmtId="165" fontId="0" fillId="0" borderId="1" xfId="0" applyNumberFormat="1" applyBorder="1"/>
    <xf numFmtId="164" fontId="0" fillId="0" borderId="2" xfId="1" applyNumberFormat="1" applyFont="1" applyBorder="1" applyAlignment="1">
      <alignment vertical="center" wrapText="1"/>
    </xf>
    <xf numFmtId="0" fontId="0" fillId="0" borderId="3" xfId="0" applyBorder="1"/>
    <xf numFmtId="164" fontId="0" fillId="0" borderId="0" xfId="1" applyNumberFormat="1" applyFont="1" applyAlignment="1">
      <alignment vertical="center" wrapText="1"/>
    </xf>
    <xf numFmtId="164" fontId="0" fillId="0" borderId="2" xfId="1" applyNumberFormat="1" applyFont="1" applyBorder="1"/>
    <xf numFmtId="0" fontId="2" fillId="4" borderId="1" xfId="0" applyFont="1" applyFill="1" applyBorder="1" applyAlignment="1">
      <alignment horizontal="center"/>
    </xf>
    <xf numFmtId="0" fontId="3" fillId="5" borderId="1" xfId="0" applyFont="1" applyFill="1" applyBorder="1" applyAlignment="1">
      <alignment wrapText="1"/>
    </xf>
    <xf numFmtId="0" fontId="3" fillId="5" borderId="1" xfId="0" applyFont="1" applyFill="1" applyBorder="1"/>
    <xf numFmtId="164" fontId="3" fillId="5" borderId="1" xfId="1" applyNumberFormat="1" applyFont="1" applyFill="1" applyBorder="1" applyAlignment="1">
      <alignment wrapText="1"/>
    </xf>
    <xf numFmtId="0" fontId="3" fillId="6" borderId="1" xfId="0" applyFont="1" applyFill="1" applyBorder="1"/>
    <xf numFmtId="166" fontId="0" fillId="0" borderId="1" xfId="2" applyNumberFormat="1" applyFont="1" applyBorder="1" applyAlignment="1">
      <alignment horizontal="center" vertical="center"/>
    </xf>
    <xf numFmtId="164" fontId="0" fillId="0" borderId="1" xfId="1" applyNumberFormat="1" applyFont="1" applyBorder="1" applyAlignment="1">
      <alignment horizontal="right" vertical="center"/>
    </xf>
    <xf numFmtId="9" fontId="0" fillId="0" borderId="1" xfId="0" applyNumberFormat="1" applyBorder="1" applyAlignment="1">
      <alignment horizontal="center" vertical="center"/>
    </xf>
    <xf numFmtId="10" fontId="0" fillId="0" borderId="1" xfId="2" applyNumberFormat="1" applyFont="1" applyBorder="1" applyAlignment="1">
      <alignment horizontal="center" vertical="center" wrapText="1"/>
    </xf>
    <xf numFmtId="0" fontId="3" fillId="6" borderId="1" xfId="0" applyFont="1" applyFill="1" applyBorder="1" applyAlignment="1">
      <alignment wrapText="1"/>
    </xf>
    <xf numFmtId="9" fontId="0" fillId="0" borderId="1" xfId="0" applyNumberFormat="1" applyBorder="1" applyAlignment="1">
      <alignment horizontal="center" vertical="center" wrapText="1"/>
    </xf>
    <xf numFmtId="10" fontId="0" fillId="0" borderId="1" xfId="2" applyNumberFormat="1" applyFont="1" applyBorder="1" applyAlignment="1">
      <alignment horizontal="center" vertical="center"/>
    </xf>
    <xf numFmtId="10" fontId="0" fillId="0" borderId="1" xfId="0" applyNumberFormat="1" applyBorder="1" applyAlignment="1">
      <alignment horizontal="center" vertical="center"/>
    </xf>
    <xf numFmtId="0" fontId="3" fillId="4" borderId="1" xfId="0" applyFont="1" applyFill="1" applyBorder="1"/>
    <xf numFmtId="0" fontId="0" fillId="7" borderId="1" xfId="0" applyFill="1" applyBorder="1" applyAlignment="1">
      <alignment horizontal="left" wrapText="1"/>
    </xf>
    <xf numFmtId="0" fontId="0" fillId="8" borderId="1" xfId="0" applyFill="1" applyBorder="1" applyAlignment="1">
      <alignment horizontal="left" wrapText="1"/>
    </xf>
    <xf numFmtId="0" fontId="0" fillId="9" borderId="1" xfId="0" applyFill="1" applyBorder="1" applyAlignment="1">
      <alignment horizontal="left" wrapText="1"/>
    </xf>
    <xf numFmtId="0" fontId="0" fillId="10" borderId="4" xfId="0" applyFill="1" applyBorder="1"/>
    <xf numFmtId="0" fontId="0" fillId="10" borderId="1" xfId="0" applyFill="1" applyBorder="1" applyAlignment="1">
      <alignment horizontal="center"/>
    </xf>
    <xf numFmtId="0" fontId="0" fillId="11" borderId="4" xfId="0" applyFill="1" applyBorder="1"/>
    <xf numFmtId="0" fontId="0" fillId="11" borderId="4" xfId="0" applyFill="1" applyBorder="1" applyAlignment="1">
      <alignment horizontal="center"/>
    </xf>
    <xf numFmtId="0" fontId="0" fillId="12" borderId="4" xfId="0" applyFill="1" applyBorder="1"/>
    <xf numFmtId="0" fontId="0" fillId="12" borderId="4" xfId="0" applyFill="1" applyBorder="1" applyAlignment="1">
      <alignment horizontal="center"/>
    </xf>
    <xf numFmtId="0" fontId="0" fillId="13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6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horizontal="center" wrapText="1"/>
    </xf>
    <xf numFmtId="0" fontId="0" fillId="14" borderId="1" xfId="0" applyFill="1" applyBorder="1"/>
    <xf numFmtId="3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15" borderId="1" xfId="0" applyFill="1" applyBorder="1"/>
    <xf numFmtId="3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13" borderId="1" xfId="0" applyFill="1" applyBorder="1" applyAlignment="1">
      <alignment horizontal="center" vertical="center" wrapText="1"/>
    </xf>
    <xf numFmtId="3" fontId="0" fillId="0" borderId="1" xfId="0" applyNumberFormat="1" applyBorder="1" applyAlignment="1">
      <alignment horizontal="center"/>
    </xf>
    <xf numFmtId="0" fontId="0" fillId="15" borderId="1" xfId="0" applyFill="1" applyBorder="1" applyAlignment="1">
      <alignment horizontal="center" vertical="center" wrapText="1"/>
    </xf>
  </cellXfs>
  <cellStyles count="3">
    <cellStyle name="Moneda" xfId="1" builtinId="4"/>
    <cellStyle name="Normal" xfId="0" builtinId="0"/>
    <cellStyle name="Porcentaj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11</xdr:row>
      <xdr:rowOff>0</xdr:rowOff>
    </xdr:from>
    <xdr:to>
      <xdr:col>2</xdr:col>
      <xdr:colOff>304800</xdr:colOff>
      <xdr:row>14</xdr:row>
      <xdr:rowOff>114300</xdr:rowOff>
    </xdr:to>
    <xdr:sp macro="" textlink="">
      <xdr:nvSpPr>
        <xdr:cNvPr id="3" name="AutoShape 8">
          <a:extLst>
            <a:ext uri="{FF2B5EF4-FFF2-40B4-BE49-F238E27FC236}">
              <a16:creationId xmlns:a16="http://schemas.microsoft.com/office/drawing/2014/main" id="{FB96D570-5D2C-428A-ACE4-829B87DB2FFE}"/>
            </a:ext>
          </a:extLst>
        </xdr:cNvPr>
        <xdr:cNvSpPr>
          <a:spLocks noChangeAspect="1" noChangeArrowheads="1"/>
        </xdr:cNvSpPr>
      </xdr:nvSpPr>
      <xdr:spPr bwMode="auto">
        <a:xfrm>
          <a:off x="1524000" y="5143500"/>
          <a:ext cx="304800" cy="685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6284A1-C5D4-4CDC-A42F-DC26003B90EA}">
  <dimension ref="B1:G20"/>
  <sheetViews>
    <sheetView tabSelected="1" workbookViewId="0">
      <selection activeCell="L11" sqref="L11"/>
    </sheetView>
  </sheetViews>
  <sheetFormatPr baseColWidth="10" defaultRowHeight="15" x14ac:dyDescent="0.25"/>
  <cols>
    <col min="4" max="4" width="17.140625" customWidth="1"/>
    <col min="5" max="5" width="22.7109375" customWidth="1"/>
    <col min="6" max="6" width="22.5703125" customWidth="1"/>
    <col min="7" max="7" width="23.28515625" customWidth="1"/>
    <col min="8" max="8" width="11.42578125" customWidth="1"/>
  </cols>
  <sheetData>
    <row r="1" spans="2:7" x14ac:dyDescent="0.25">
      <c r="E1" s="1"/>
    </row>
    <row r="2" spans="2:7" ht="60" x14ac:dyDescent="0.25">
      <c r="B2" s="2" t="s">
        <v>0</v>
      </c>
      <c r="C2" s="2" t="s">
        <v>1</v>
      </c>
      <c r="D2" s="2" t="s">
        <v>2</v>
      </c>
      <c r="E2" s="3" t="s">
        <v>3</v>
      </c>
      <c r="F2" s="4" t="s">
        <v>4</v>
      </c>
      <c r="G2" s="2" t="s">
        <v>5</v>
      </c>
    </row>
    <row r="3" spans="2:7" x14ac:dyDescent="0.25">
      <c r="B3" s="5" t="s">
        <v>6</v>
      </c>
      <c r="C3" s="6" t="s">
        <v>7</v>
      </c>
      <c r="D3" s="7" t="s">
        <v>8</v>
      </c>
      <c r="E3" s="8">
        <v>3000000</v>
      </c>
      <c r="F3" s="9">
        <f>G3/160</f>
        <v>28472.25</v>
      </c>
      <c r="G3" s="10">
        <f>E3+D20</f>
        <v>4555560</v>
      </c>
    </row>
    <row r="4" spans="2:7" x14ac:dyDescent="0.25">
      <c r="B4" s="5" t="s">
        <v>9</v>
      </c>
      <c r="C4" s="6" t="s">
        <v>10</v>
      </c>
      <c r="D4" s="7" t="s">
        <v>11</v>
      </c>
      <c r="E4" s="11">
        <v>2800000</v>
      </c>
      <c r="F4" s="9">
        <v>27700</v>
      </c>
      <c r="G4" s="10">
        <v>4432120</v>
      </c>
    </row>
    <row r="5" spans="2:7" x14ac:dyDescent="0.25">
      <c r="B5" s="5" t="s">
        <v>12</v>
      </c>
      <c r="C5" s="6" t="s">
        <v>13</v>
      </c>
      <c r="D5" s="12" t="s">
        <v>14</v>
      </c>
      <c r="E5" s="13">
        <v>3500000</v>
      </c>
      <c r="F5" s="9">
        <v>34600</v>
      </c>
      <c r="G5" s="10">
        <v>5539150</v>
      </c>
    </row>
    <row r="6" spans="2:7" x14ac:dyDescent="0.25">
      <c r="B6" s="5" t="s">
        <v>15</v>
      </c>
      <c r="C6" s="6" t="s">
        <v>16</v>
      </c>
      <c r="D6" s="6" t="s">
        <v>8</v>
      </c>
      <c r="E6" s="14">
        <v>1800000</v>
      </c>
      <c r="F6" s="9">
        <v>17800</v>
      </c>
      <c r="G6" s="10">
        <v>2849220</v>
      </c>
    </row>
    <row r="7" spans="2:7" x14ac:dyDescent="0.25">
      <c r="E7" s="1"/>
    </row>
    <row r="8" spans="2:7" x14ac:dyDescent="0.25">
      <c r="B8" s="15" t="s">
        <v>17</v>
      </c>
      <c r="C8" s="15"/>
      <c r="D8" s="15"/>
      <c r="E8" s="1"/>
    </row>
    <row r="9" spans="2:7" ht="45" x14ac:dyDescent="0.25">
      <c r="B9" s="16" t="s">
        <v>17</v>
      </c>
      <c r="C9" s="17" t="s">
        <v>18</v>
      </c>
      <c r="D9" s="16" t="s">
        <v>6</v>
      </c>
      <c r="E9" s="18" t="s">
        <v>9</v>
      </c>
      <c r="F9" s="18" t="s">
        <v>19</v>
      </c>
      <c r="G9" s="18" t="s">
        <v>15</v>
      </c>
    </row>
    <row r="10" spans="2:7" x14ac:dyDescent="0.25">
      <c r="B10" s="19" t="s">
        <v>20</v>
      </c>
      <c r="C10" s="20">
        <v>8.5000000000000006E-2</v>
      </c>
      <c r="D10" s="21">
        <f>E$3*C10</f>
        <v>255000.00000000003</v>
      </c>
      <c r="E10" s="21">
        <f>E$4*C10</f>
        <v>238000.00000000003</v>
      </c>
      <c r="F10" s="21">
        <f>E$5*C10</f>
        <v>297500</v>
      </c>
      <c r="G10" s="21">
        <f>E$6*C10</f>
        <v>153000</v>
      </c>
    </row>
    <row r="11" spans="2:7" x14ac:dyDescent="0.25">
      <c r="B11" s="19" t="s">
        <v>21</v>
      </c>
      <c r="C11" s="22">
        <v>0.12</v>
      </c>
      <c r="D11" s="21">
        <f t="shared" ref="D11:D19" si="0">E$3*C11</f>
        <v>360000</v>
      </c>
      <c r="E11" s="21">
        <f t="shared" ref="E11:E19" si="1">E$4*C11</f>
        <v>336000</v>
      </c>
      <c r="F11" s="21">
        <f t="shared" ref="F11:F19" si="2">E$5*C11</f>
        <v>420000</v>
      </c>
      <c r="G11" s="21">
        <f t="shared" ref="G11:G19" si="3">E$6*C11</f>
        <v>216000</v>
      </c>
    </row>
    <row r="12" spans="2:7" x14ac:dyDescent="0.25">
      <c r="B12" s="19" t="s">
        <v>22</v>
      </c>
      <c r="C12" s="23">
        <v>5.2199999999999998E-3</v>
      </c>
      <c r="D12" s="21">
        <f t="shared" si="0"/>
        <v>15660</v>
      </c>
      <c r="E12" s="21">
        <f t="shared" si="1"/>
        <v>14616</v>
      </c>
      <c r="F12" s="21">
        <f t="shared" si="2"/>
        <v>18270</v>
      </c>
      <c r="G12" s="21">
        <f t="shared" si="3"/>
        <v>9396</v>
      </c>
    </row>
    <row r="13" spans="2:7" ht="45" x14ac:dyDescent="0.25">
      <c r="B13" s="24" t="s">
        <v>23</v>
      </c>
      <c r="C13" s="25">
        <v>0.04</v>
      </c>
      <c r="D13" s="21">
        <f t="shared" si="0"/>
        <v>120000</v>
      </c>
      <c r="E13" s="21">
        <f t="shared" si="1"/>
        <v>112000</v>
      </c>
      <c r="F13" s="21">
        <f t="shared" si="2"/>
        <v>140000</v>
      </c>
      <c r="G13" s="21">
        <f t="shared" si="3"/>
        <v>72000</v>
      </c>
    </row>
    <row r="14" spans="2:7" x14ac:dyDescent="0.25">
      <c r="B14" s="19" t="s">
        <v>24</v>
      </c>
      <c r="C14" s="22">
        <v>0.02</v>
      </c>
      <c r="D14" s="21">
        <f t="shared" si="0"/>
        <v>60000</v>
      </c>
      <c r="E14" s="21">
        <f t="shared" si="1"/>
        <v>56000</v>
      </c>
      <c r="F14" s="21">
        <f t="shared" si="2"/>
        <v>70000</v>
      </c>
      <c r="G14" s="21">
        <f t="shared" si="3"/>
        <v>36000</v>
      </c>
    </row>
    <row r="15" spans="2:7" x14ac:dyDescent="0.25">
      <c r="B15" s="19" t="s">
        <v>25</v>
      </c>
      <c r="C15" s="22">
        <v>0.03</v>
      </c>
      <c r="D15" s="21">
        <f t="shared" si="0"/>
        <v>90000</v>
      </c>
      <c r="E15" s="21">
        <f t="shared" si="1"/>
        <v>84000</v>
      </c>
      <c r="F15" s="21">
        <f t="shared" si="2"/>
        <v>105000</v>
      </c>
      <c r="G15" s="21">
        <f t="shared" si="3"/>
        <v>54000</v>
      </c>
    </row>
    <row r="16" spans="2:7" x14ac:dyDescent="0.25">
      <c r="B16" s="19" t="s">
        <v>26</v>
      </c>
      <c r="C16" s="26">
        <v>8.3299999999999999E-2</v>
      </c>
      <c r="D16" s="21">
        <f>E$3*C16</f>
        <v>249900</v>
      </c>
      <c r="E16" s="21">
        <f t="shared" si="1"/>
        <v>233240</v>
      </c>
      <c r="F16" s="21">
        <f t="shared" si="2"/>
        <v>291550</v>
      </c>
      <c r="G16" s="21">
        <f t="shared" si="3"/>
        <v>149940</v>
      </c>
    </row>
    <row r="17" spans="2:7" x14ac:dyDescent="0.25">
      <c r="B17" s="19" t="s">
        <v>27</v>
      </c>
      <c r="C17" s="27">
        <v>8.3299999999999999E-2</v>
      </c>
      <c r="D17" s="21">
        <f t="shared" si="0"/>
        <v>249900</v>
      </c>
      <c r="E17" s="21">
        <f t="shared" si="1"/>
        <v>233240</v>
      </c>
      <c r="F17" s="21">
        <f t="shared" si="2"/>
        <v>291550</v>
      </c>
      <c r="G17" s="21">
        <f t="shared" si="3"/>
        <v>149940</v>
      </c>
    </row>
    <row r="18" spans="2:7" ht="30" x14ac:dyDescent="0.25">
      <c r="B18" s="24" t="s">
        <v>28</v>
      </c>
      <c r="C18" s="22">
        <v>0.01</v>
      </c>
      <c r="D18" s="21">
        <f t="shared" si="0"/>
        <v>30000</v>
      </c>
      <c r="E18" s="21">
        <f t="shared" si="1"/>
        <v>28000</v>
      </c>
      <c r="F18" s="21">
        <f t="shared" si="2"/>
        <v>35000</v>
      </c>
      <c r="G18" s="21">
        <f t="shared" si="3"/>
        <v>18000</v>
      </c>
    </row>
    <row r="19" spans="2:7" x14ac:dyDescent="0.25">
      <c r="B19" s="19" t="s">
        <v>29</v>
      </c>
      <c r="C19" s="27">
        <v>4.1700000000000001E-2</v>
      </c>
      <c r="D19" s="21">
        <f t="shared" si="0"/>
        <v>125100</v>
      </c>
      <c r="E19" s="21">
        <f t="shared" si="1"/>
        <v>116760</v>
      </c>
      <c r="F19" s="21">
        <f t="shared" si="2"/>
        <v>145950</v>
      </c>
      <c r="G19" s="21">
        <f t="shared" si="3"/>
        <v>75060</v>
      </c>
    </row>
    <row r="20" spans="2:7" x14ac:dyDescent="0.25">
      <c r="B20" s="28" t="s">
        <v>30</v>
      </c>
      <c r="C20" s="27"/>
      <c r="D20" s="21">
        <f>SUM(D10:D19)</f>
        <v>1555560</v>
      </c>
      <c r="E20" s="21">
        <f t="shared" ref="E20" si="4">SUM(E10:E19)</f>
        <v>1451856</v>
      </c>
      <c r="F20" s="21">
        <f>SUM(F10+F11+F12+F13+F14+F15+F16+F17+F19+F18)</f>
        <v>1814820</v>
      </c>
      <c r="G20" s="21">
        <f>SUM(G10+G11+G12+G13+G14+G15+G16+G17+G19+G18)</f>
        <v>933336</v>
      </c>
    </row>
  </sheetData>
  <mergeCells count="1">
    <mergeCell ref="B8:D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E4384D-D1FF-4879-A4A0-3877B0976167}">
  <dimension ref="B4:U13"/>
  <sheetViews>
    <sheetView workbookViewId="0">
      <selection activeCell="L15" sqref="L15"/>
    </sheetView>
  </sheetViews>
  <sheetFormatPr baseColWidth="10" defaultRowHeight="15" x14ac:dyDescent="0.25"/>
  <sheetData>
    <row r="4" spans="2:21" x14ac:dyDescent="0.25">
      <c r="C4" s="29" t="s">
        <v>31</v>
      </c>
      <c r="D4" s="29"/>
      <c r="E4" s="29"/>
      <c r="F4" s="29"/>
      <c r="G4" s="29"/>
      <c r="J4" s="30" t="s">
        <v>32</v>
      </c>
      <c r="K4" s="30"/>
      <c r="L4" s="30"/>
      <c r="M4" s="30"/>
      <c r="N4" s="30"/>
      <c r="Q4" s="31" t="s">
        <v>33</v>
      </c>
      <c r="R4" s="31"/>
      <c r="S4" s="31"/>
      <c r="T4" s="31"/>
      <c r="U4" s="31"/>
    </row>
    <row r="5" spans="2:21" x14ac:dyDescent="0.25">
      <c r="C5" s="32" t="s">
        <v>34</v>
      </c>
      <c r="D5" s="32" t="s">
        <v>35</v>
      </c>
      <c r="E5" s="33" t="s">
        <v>36</v>
      </c>
      <c r="F5" s="33"/>
      <c r="G5" s="33"/>
      <c r="J5" s="34" t="s">
        <v>34</v>
      </c>
      <c r="K5" s="34" t="s">
        <v>35</v>
      </c>
      <c r="L5" s="35" t="s">
        <v>36</v>
      </c>
      <c r="M5" s="35"/>
      <c r="N5" s="35"/>
      <c r="Q5" s="36" t="s">
        <v>34</v>
      </c>
      <c r="R5" s="36" t="s">
        <v>35</v>
      </c>
      <c r="S5" s="37" t="s">
        <v>36</v>
      </c>
      <c r="T5" s="37"/>
      <c r="U5" s="37"/>
    </row>
    <row r="6" spans="2:21" ht="30" x14ac:dyDescent="0.25">
      <c r="B6" s="38" t="s">
        <v>37</v>
      </c>
      <c r="C6" s="39" t="s">
        <v>38</v>
      </c>
      <c r="D6" s="40">
        <v>1196883</v>
      </c>
      <c r="E6" s="41" t="s">
        <v>39</v>
      </c>
      <c r="F6" s="41"/>
      <c r="G6" s="41"/>
      <c r="I6" s="42" t="s">
        <v>37</v>
      </c>
      <c r="J6" s="39" t="s">
        <v>38</v>
      </c>
      <c r="K6" s="43">
        <v>1196883</v>
      </c>
      <c r="L6" s="44" t="s">
        <v>40</v>
      </c>
      <c r="M6" s="44"/>
      <c r="N6" s="44"/>
      <c r="P6" s="45" t="s">
        <v>37</v>
      </c>
      <c r="Q6" s="39" t="s">
        <v>41</v>
      </c>
      <c r="R6" s="46">
        <v>1213134</v>
      </c>
      <c r="S6" s="44" t="s">
        <v>42</v>
      </c>
      <c r="T6" s="44"/>
      <c r="U6" s="44"/>
    </row>
    <row r="7" spans="2:21" ht="75" x14ac:dyDescent="0.25">
      <c r="B7" s="38" t="s">
        <v>43</v>
      </c>
      <c r="C7" s="39" t="s">
        <v>44</v>
      </c>
      <c r="D7" s="40">
        <v>1834000</v>
      </c>
      <c r="E7" s="44" t="s">
        <v>45</v>
      </c>
      <c r="F7" s="44"/>
      <c r="G7" s="44"/>
      <c r="I7" s="42" t="s">
        <v>43</v>
      </c>
      <c r="J7" s="47" t="s">
        <v>46</v>
      </c>
      <c r="K7" s="39" t="s">
        <v>46</v>
      </c>
      <c r="L7" s="48" t="s">
        <v>46</v>
      </c>
      <c r="M7" s="48"/>
      <c r="N7" s="48"/>
      <c r="P7" s="45" t="s">
        <v>43</v>
      </c>
      <c r="Q7" s="39" t="s">
        <v>46</v>
      </c>
      <c r="R7" s="39" t="s">
        <v>46</v>
      </c>
      <c r="S7" s="48" t="s">
        <v>46</v>
      </c>
      <c r="T7" s="48"/>
      <c r="U7" s="48"/>
    </row>
    <row r="8" spans="2:21" ht="75" x14ac:dyDescent="0.25">
      <c r="B8" s="38" t="s">
        <v>47</v>
      </c>
      <c r="C8" s="39" t="s">
        <v>48</v>
      </c>
      <c r="D8" s="43">
        <v>1600000</v>
      </c>
      <c r="E8" s="44" t="s">
        <v>49</v>
      </c>
      <c r="F8" s="44"/>
      <c r="G8" s="44"/>
      <c r="I8" s="42" t="s">
        <v>47</v>
      </c>
      <c r="J8" s="39" t="s">
        <v>50</v>
      </c>
      <c r="K8" s="43">
        <v>1600000</v>
      </c>
      <c r="L8" s="44" t="s">
        <v>51</v>
      </c>
      <c r="M8" s="44"/>
      <c r="N8" s="44"/>
      <c r="P8" s="45" t="s">
        <v>47</v>
      </c>
      <c r="Q8" s="39" t="s">
        <v>52</v>
      </c>
      <c r="R8" s="46">
        <v>1600000</v>
      </c>
      <c r="S8" s="44" t="s">
        <v>53</v>
      </c>
      <c r="T8" s="44"/>
      <c r="U8" s="44"/>
    </row>
    <row r="9" spans="2:21" ht="45" x14ac:dyDescent="0.25">
      <c r="B9" s="38" t="s">
        <v>54</v>
      </c>
      <c r="C9" s="39" t="s">
        <v>55</v>
      </c>
      <c r="D9" s="43">
        <v>996959</v>
      </c>
      <c r="E9" s="49" t="s">
        <v>56</v>
      </c>
      <c r="F9" s="50"/>
      <c r="G9" s="51"/>
      <c r="I9" s="42" t="s">
        <v>54</v>
      </c>
      <c r="J9" s="39" t="s">
        <v>55</v>
      </c>
      <c r="K9" s="43">
        <v>996959</v>
      </c>
      <c r="L9" s="44" t="s">
        <v>57</v>
      </c>
      <c r="M9" s="44"/>
      <c r="N9" s="44"/>
      <c r="P9" s="45" t="s">
        <v>54</v>
      </c>
      <c r="Q9" s="39" t="s">
        <v>55</v>
      </c>
      <c r="R9" s="46">
        <v>996959</v>
      </c>
      <c r="S9" s="44" t="s">
        <v>58</v>
      </c>
      <c r="T9" s="44"/>
      <c r="U9" s="44"/>
    </row>
    <row r="10" spans="2:21" ht="45" x14ac:dyDescent="0.25">
      <c r="B10" s="38" t="s">
        <v>59</v>
      </c>
      <c r="C10" s="39" t="s">
        <v>60</v>
      </c>
      <c r="D10" s="43">
        <v>650000</v>
      </c>
      <c r="E10" s="44" t="s">
        <v>61</v>
      </c>
      <c r="F10" s="44"/>
      <c r="G10" s="44"/>
      <c r="I10" s="42" t="s">
        <v>59</v>
      </c>
      <c r="J10" s="39" t="s">
        <v>60</v>
      </c>
      <c r="K10" s="43">
        <v>650000</v>
      </c>
      <c r="L10" s="44" t="s">
        <v>62</v>
      </c>
      <c r="M10" s="44"/>
      <c r="N10" s="44"/>
      <c r="P10" s="45" t="s">
        <v>59</v>
      </c>
      <c r="Q10" s="39" t="s">
        <v>63</v>
      </c>
      <c r="R10" s="46">
        <v>440000</v>
      </c>
      <c r="S10" s="44" t="s">
        <v>64</v>
      </c>
      <c r="T10" s="44"/>
      <c r="U10" s="44"/>
    </row>
    <row r="11" spans="2:21" ht="60" x14ac:dyDescent="0.25">
      <c r="B11" s="38" t="s">
        <v>65</v>
      </c>
      <c r="C11" s="39" t="s">
        <v>66</v>
      </c>
      <c r="D11" s="46">
        <v>420000</v>
      </c>
      <c r="E11" s="44" t="s">
        <v>67</v>
      </c>
      <c r="F11" s="44"/>
      <c r="G11" s="44"/>
      <c r="I11" s="42" t="s">
        <v>65</v>
      </c>
      <c r="J11" s="39" t="s">
        <v>68</v>
      </c>
      <c r="K11" s="43">
        <v>420000</v>
      </c>
      <c r="L11" s="44" t="s">
        <v>69</v>
      </c>
      <c r="M11" s="44"/>
      <c r="N11" s="44"/>
      <c r="P11" s="45" t="s">
        <v>65</v>
      </c>
      <c r="Q11" s="39" t="s">
        <v>70</v>
      </c>
      <c r="R11" s="46">
        <v>425000</v>
      </c>
      <c r="S11" s="44" t="s">
        <v>71</v>
      </c>
      <c r="T11" s="44"/>
      <c r="U11" s="44"/>
    </row>
    <row r="12" spans="2:21" ht="45" x14ac:dyDescent="0.25">
      <c r="B12" s="38" t="s">
        <v>72</v>
      </c>
      <c r="C12" s="39" t="s">
        <v>73</v>
      </c>
      <c r="D12" s="46">
        <v>185000</v>
      </c>
      <c r="E12" s="44" t="s">
        <v>74</v>
      </c>
      <c r="F12" s="44"/>
      <c r="G12" s="44"/>
      <c r="I12" s="42" t="s">
        <v>72</v>
      </c>
      <c r="J12" s="39" t="s">
        <v>75</v>
      </c>
      <c r="K12" s="43">
        <v>185000</v>
      </c>
      <c r="L12" s="44" t="s">
        <v>76</v>
      </c>
      <c r="M12" s="44"/>
      <c r="N12" s="44"/>
      <c r="P12" s="45" t="s">
        <v>72</v>
      </c>
      <c r="Q12" s="39" t="s">
        <v>75</v>
      </c>
      <c r="R12" s="46">
        <v>185000</v>
      </c>
      <c r="S12" s="44" t="s">
        <v>77</v>
      </c>
      <c r="T12" s="44"/>
      <c r="U12" s="44"/>
    </row>
    <row r="13" spans="2:21" x14ac:dyDescent="0.25">
      <c r="C13" s="52" t="s">
        <v>78</v>
      </c>
      <c r="D13" s="53">
        <v>6880000</v>
      </c>
      <c r="J13" s="42" t="s">
        <v>78</v>
      </c>
      <c r="K13" s="43">
        <v>5050000</v>
      </c>
      <c r="Q13" s="54" t="s">
        <v>78</v>
      </c>
      <c r="R13" s="46">
        <v>4856000</v>
      </c>
    </row>
  </sheetData>
  <mergeCells count="27">
    <mergeCell ref="L12:N12"/>
    <mergeCell ref="S12:U12"/>
    <mergeCell ref="L8:N8"/>
    <mergeCell ref="S8:U8"/>
    <mergeCell ref="E9:G9"/>
    <mergeCell ref="L9:N9"/>
    <mergeCell ref="S9:U9"/>
    <mergeCell ref="E10:G10"/>
    <mergeCell ref="L10:N10"/>
    <mergeCell ref="S10:U10"/>
    <mergeCell ref="C4:G4"/>
    <mergeCell ref="J4:N4"/>
    <mergeCell ref="Q4:U4"/>
    <mergeCell ref="E5:G5"/>
    <mergeCell ref="L5:N5"/>
    <mergeCell ref="S5:U5"/>
    <mergeCell ref="E6:G6"/>
    <mergeCell ref="E11:G11"/>
    <mergeCell ref="L11:N11"/>
    <mergeCell ref="S11:U11"/>
    <mergeCell ref="E12:G12"/>
    <mergeCell ref="E7:G7"/>
    <mergeCell ref="L7:N7"/>
    <mergeCell ref="S7:U7"/>
    <mergeCell ref="E8:G8"/>
    <mergeCell ref="L6:N6"/>
    <mergeCell ref="S6:U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Aprendiz</dc:creator>
  <cp:lastModifiedBy>Aprendiz</cp:lastModifiedBy>
  <dcterms:created xsi:type="dcterms:W3CDTF">2026-03-18T20:55:29Z</dcterms:created>
  <dcterms:modified xsi:type="dcterms:W3CDTF">2026-03-18T21:05:29Z</dcterms:modified>
</cp:coreProperties>
</file>