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prendiz\Desktop\XD\RoyalPets\trimestre 2\"/>
    </mc:Choice>
  </mc:AlternateContent>
  <xr:revisionPtr revIDLastSave="0" documentId="8_{53990029-6E94-4CE5-A51F-538A4BDB52F8}" xr6:coauthVersionLast="47" xr6:coauthVersionMax="47" xr10:uidLastSave="{00000000-0000-0000-0000-000000000000}"/>
  <bookViews>
    <workbookView xWindow="-120" yWindow="-120" windowWidth="29040" windowHeight="15720" xr2:uid="{CE73354B-E448-4686-BDAE-33FB59E1EA3A}"/>
  </bookViews>
  <sheets>
    <sheet name="Lista de costoss" sheetId="1" r:id="rId1"/>
    <sheet name="Componentes P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1" l="1"/>
  <c r="F3" i="1"/>
  <c r="D17" i="1"/>
  <c r="D14" i="1"/>
  <c r="D12" i="1"/>
  <c r="D10" i="1"/>
  <c r="D19" i="1"/>
  <c r="D18" i="1"/>
  <c r="D16" i="1"/>
  <c r="D15" i="1"/>
  <c r="D13" i="1"/>
  <c r="D11" i="1"/>
  <c r="C20" i="1"/>
  <c r="D20" i="1" l="1"/>
  <c r="G3" i="1" s="1"/>
</calcChain>
</file>

<file path=xl/sharedStrings.xml><?xml version="1.0" encoding="utf-8"?>
<sst xmlns="http://schemas.openxmlformats.org/spreadsheetml/2006/main" count="152" uniqueCount="97">
  <si>
    <t>Analista</t>
  </si>
  <si>
    <t>Arquitecto</t>
  </si>
  <si>
    <t>Desarrollador</t>
  </si>
  <si>
    <t>Tester / QA</t>
  </si>
  <si>
    <t>Requisitos, análisis</t>
  </si>
  <si>
    <t>Diseño, arquitectura</t>
  </si>
  <si>
    <t>Implementación, codificación</t>
  </si>
  <si>
    <t>Pruebas, control calidad</t>
  </si>
  <si>
    <t>Rol</t>
  </si>
  <si>
    <t>Fase principal</t>
  </si>
  <si>
    <t>Horas estimadas</t>
  </si>
  <si>
    <t>Salario mensual promedio (COP)</t>
  </si>
  <si>
    <t>Costo por hora (COP)¹</t>
  </si>
  <si>
    <t>Costo total estimado (COP)</t>
  </si>
  <si>
    <t>Salud</t>
  </si>
  <si>
    <t>Pensión</t>
  </si>
  <si>
    <t>ARL (Riesgos laborales)</t>
  </si>
  <si>
    <t xml:space="preserve">Prestaciones </t>
  </si>
  <si>
    <t>Caja de compensación familiar</t>
  </si>
  <si>
    <t>SENA</t>
  </si>
  <si>
    <t>ICBF</t>
  </si>
  <si>
    <t>Prima de servicios</t>
  </si>
  <si>
    <t>Cesantías</t>
  </si>
  <si>
    <t>Intereses sobre cesantías</t>
  </si>
  <si>
    <t>Porcentaje sobre salario mensual</t>
  </si>
  <si>
    <t>8.5%</t>
  </si>
  <si>
    <t>6.96%</t>
  </si>
  <si>
    <t>8.33%</t>
  </si>
  <si>
    <t>Vacaciones</t>
  </si>
  <si>
    <t>4.17%</t>
  </si>
  <si>
    <t>Observaciones</t>
  </si>
  <si>
    <t>El trabajador paga 4%</t>
  </si>
  <si>
    <t>Depende del nivel de riesgo</t>
  </si>
  <si>
    <t>Parafiscales</t>
  </si>
  <si>
    <t>Prestación social</t>
  </si>
  <si>
    <t>Prestaciones analista.</t>
  </si>
  <si>
    <t xml:space="preserve">Pensión </t>
  </si>
  <si>
    <t>ARL</t>
  </si>
  <si>
    <t>Caja de compensación</t>
  </si>
  <si>
    <t>Prima</t>
  </si>
  <si>
    <t xml:space="preserve">Cesantías </t>
  </si>
  <si>
    <t xml:space="preserve">Interéses cesantías </t>
  </si>
  <si>
    <t>Total</t>
  </si>
  <si>
    <t xml:space="preserve">Porcentaje </t>
  </si>
  <si>
    <t>Componentes</t>
  </si>
  <si>
    <t xml:space="preserve">Precio </t>
  </si>
  <si>
    <t>Detalles</t>
  </si>
  <si>
    <t>CPU</t>
  </si>
  <si>
    <t>GPU</t>
  </si>
  <si>
    <t>RAM</t>
  </si>
  <si>
    <t>SSD</t>
  </si>
  <si>
    <t>Motherboard</t>
  </si>
  <si>
    <t>Gabinete</t>
  </si>
  <si>
    <t>Fuente de pdr</t>
  </si>
  <si>
    <t>AMD Ryzen 7 7700X</t>
  </si>
  <si>
    <t>GIGABYTE GeForce RTX 4060 WINDFORCE OC 8GB</t>
  </si>
  <si>
    <t>Corsair Vengeance DDR5 32GB (2x16GB) 6000MHz</t>
  </si>
  <si>
    <t>Samsung 980 Pro 1TB NVMe</t>
  </si>
  <si>
    <t>Gigabyte B650 Eagle AX</t>
  </si>
  <si>
    <t>Aerocool Dorado 750W 80+ Gold </t>
  </si>
  <si>
    <t>Xtech XT‑GMR3 Deimos ATX</t>
  </si>
  <si>
    <t>Alto rendimiento multinúcleo para compilación y virtualización.</t>
  </si>
  <si>
    <t>Acelera IA, cálculos paralelos y múltiples monitores.</t>
  </si>
  <si>
    <t>Mucha memoria para multitarea y contenedores.</t>
  </si>
  <si>
    <t>Lectura ultrarrápida para proyectos y bases de datos.</t>
  </si>
  <si>
    <t>Compatible con Ryzen 7000 y expansión moderna.</t>
  </si>
  <si>
    <t>Energía estable y eficiente para componentes potentes.</t>
  </si>
  <si>
    <t>Buen flujo de aire y espacio para expansión.</t>
  </si>
  <si>
    <t>Computador #1 -  "Mas potente"</t>
  </si>
  <si>
    <t xml:space="preserve">Computador #2 </t>
  </si>
  <si>
    <t>Corsair Vengeance DDR5 32GB (2x16GB)</t>
  </si>
  <si>
    <t>Aerocool Dorado 750W</t>
  </si>
  <si>
    <t>Xtech XT‑GMR3 Deimos</t>
  </si>
  <si>
    <t>Excelente rendimiento para compilar código y ejecutar contenedores.</t>
  </si>
  <si>
    <t>Memoria suficiente para multitarea y entornos de desarrollo.</t>
  </si>
  <si>
    <t>Alta velocidad para cargar proyectos y bases de datos.</t>
  </si>
  <si>
    <t>Soporte moderno y buena conectividad para expansión futura.</t>
  </si>
  <si>
    <t>Fuente eficiente y estable para el sistema.</t>
  </si>
  <si>
    <t>Gabinete económico con buen flujo de aire.</t>
  </si>
  <si>
    <t>N/A</t>
  </si>
  <si>
    <t>Computador #3 "Mas economico"</t>
  </si>
  <si>
    <t>Intel Core i7‑13700F</t>
  </si>
  <si>
    <t>Corsair Vengeance DDR5 32GB</t>
  </si>
  <si>
    <t>ASRock B650M‑HDV </t>
  </si>
  <si>
    <t>Gamdias 750W Gold</t>
  </si>
  <si>
    <t>Alto rendimiento para análisis de datos y pruebas simultáneas.</t>
  </si>
  <si>
    <t>Memoria suficiente para múltiples herramientas y navegadores.</t>
  </si>
  <si>
    <t>Almacenamiento rápido para pruebas y manejo de datos.</t>
  </si>
  <si>
    <t>Placa base económica con soporte para componentes modernos.</t>
  </si>
  <si>
    <t>Fuente eficiente para estabilidad del sistema.</t>
  </si>
  <si>
    <t>Gabinete con ventilación adecuada y espacio para componentes.</t>
  </si>
  <si>
    <t>TOTAL</t>
  </si>
  <si>
    <t>Valor total analista</t>
  </si>
  <si>
    <t>Valor total aquitecto</t>
  </si>
  <si>
    <t>Valor total desarrollador</t>
  </si>
  <si>
    <t>Valor total tester</t>
  </si>
  <si>
    <t>Prestaciones por obligación.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</si>
</sst>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\ #,##0;[Red]\-&quot;$&quot;\ #,##0"/>
    <numFmt numFmtId="44" formatCode="_-&quot;$&quot;\ * #,##0.00_-;\-&quot;$&quot;\ * #,##0.00_-;_-&quot;$&quot;\ * &quot;-&quot;??_-;_-@_-"/>
    <numFmt numFmtId="164" formatCode="_-[$$-240A]\ * #,##0.00_-;\-[$$-240A]\ * #,##0.00_-;_-[$$-240A]\ * &quot;-&quot;??_-;_-@_-"/>
    <numFmt numFmtId="165" formatCode="0.0%"/>
    <numFmt numFmtId="166" formatCode="_-[$$-240A]\ * #,##0_-;\-[$$-240A]\ * #,##0_-;_-[$$-240A]\ 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5">
    <xf numFmtId="0" fontId="0" fillId="0" borderId="0" xfId="0"/>
    <xf numFmtId="0" fontId="0" fillId="0" borderId="1" xfId="0" applyBorder="1"/>
    <xf numFmtId="0" fontId="0" fillId="4" borderId="1" xfId="0" applyFill="1" applyBorder="1"/>
    <xf numFmtId="0" fontId="0" fillId="4" borderId="1" xfId="0" applyFill="1" applyBorder="1" applyAlignment="1"/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wrapText="1"/>
    </xf>
    <xf numFmtId="9" fontId="0" fillId="0" borderId="1" xfId="0" applyNumberFormat="1" applyBorder="1" applyAlignment="1">
      <alignment horizontal="center" wrapText="1"/>
    </xf>
    <xf numFmtId="0" fontId="0" fillId="0" borderId="2" xfId="0" applyBorder="1"/>
    <xf numFmtId="0" fontId="0" fillId="0" borderId="1" xfId="0" applyFont="1" applyBorder="1" applyAlignment="1">
      <alignment vertical="center" wrapText="1"/>
    </xf>
    <xf numFmtId="164" fontId="0" fillId="0" borderId="1" xfId="0" applyNumberFormat="1" applyBorder="1"/>
    <xf numFmtId="164" fontId="0" fillId="0" borderId="1" xfId="1" applyNumberFormat="1" applyFont="1" applyBorder="1" applyAlignment="1">
      <alignment horizontal="left"/>
    </xf>
    <xf numFmtId="0" fontId="0" fillId="3" borderId="0" xfId="0" applyFill="1" applyBorder="1"/>
    <xf numFmtId="0" fontId="0" fillId="3" borderId="0" xfId="0" applyFill="1" applyBorder="1" applyAlignment="1">
      <alignment wrapText="1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3" fillId="3" borderId="1" xfId="0" applyFont="1" applyFill="1" applyBorder="1"/>
    <xf numFmtId="0" fontId="3" fillId="6" borderId="1" xfId="0" applyFont="1" applyFill="1" applyBorder="1" applyAlignment="1">
      <alignment wrapText="1"/>
    </xf>
    <xf numFmtId="0" fontId="3" fillId="6" borderId="1" xfId="0" applyFont="1" applyFill="1" applyBorder="1"/>
    <xf numFmtId="0" fontId="3" fillId="5" borderId="1" xfId="0" applyFont="1" applyFill="1" applyBorder="1"/>
    <xf numFmtId="0" fontId="3" fillId="5" borderId="1" xfId="0" applyFont="1" applyFill="1" applyBorder="1" applyAlignment="1">
      <alignment wrapText="1"/>
    </xf>
    <xf numFmtId="0" fontId="3" fillId="7" borderId="1" xfId="0" applyFont="1" applyFill="1" applyBorder="1"/>
    <xf numFmtId="0" fontId="2" fillId="2" borderId="1" xfId="0" applyFont="1" applyFill="1" applyBorder="1" applyAlignment="1">
      <alignment horizontal="center" wrapText="1"/>
    </xf>
    <xf numFmtId="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9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 wrapText="1"/>
    </xf>
    <xf numFmtId="6" fontId="0" fillId="0" borderId="1" xfId="0" applyNumberFormat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/>
    </xf>
    <xf numFmtId="0" fontId="0" fillId="10" borderId="4" xfId="0" applyFill="1" applyBorder="1"/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12" borderId="4" xfId="0" applyFill="1" applyBorder="1"/>
    <xf numFmtId="0" fontId="0" fillId="13" borderId="1" xfId="0" applyFill="1" applyBorder="1"/>
    <xf numFmtId="0" fontId="0" fillId="13" borderId="1" xfId="0" applyFill="1" applyBorder="1" applyAlignment="1"/>
    <xf numFmtId="0" fontId="0" fillId="15" borderId="4" xfId="0" applyFill="1" applyBorder="1"/>
    <xf numFmtId="0" fontId="0" fillId="4" borderId="1" xfId="0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left" vertical="center"/>
    </xf>
    <xf numFmtId="164" fontId="0" fillId="0" borderId="3" xfId="0" applyNumberFormat="1" applyBorder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3" xfId="0" applyNumberFormat="1" applyBorder="1"/>
    <xf numFmtId="0" fontId="0" fillId="0" borderId="0" xfId="0" applyBorder="1"/>
    <xf numFmtId="0" fontId="2" fillId="0" borderId="0" xfId="0" applyFont="1" applyFill="1" applyBorder="1" applyAlignment="1">
      <alignment horizontal="center"/>
    </xf>
    <xf numFmtId="166" fontId="0" fillId="0" borderId="1" xfId="0" applyNumberFormat="1" applyBorder="1"/>
    <xf numFmtId="0" fontId="0" fillId="15" borderId="1" xfId="0" applyFill="1" applyBorder="1"/>
    <xf numFmtId="0" fontId="0" fillId="15" borderId="1" xfId="0" applyFill="1" applyBorder="1" applyAlignment="1"/>
    <xf numFmtId="0" fontId="0" fillId="4" borderId="1" xfId="0" applyFill="1" applyBorder="1" applyAlignment="1">
      <alignment wrapText="1"/>
    </xf>
    <xf numFmtId="0" fontId="0" fillId="14" borderId="7" xfId="0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3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9" borderId="1" xfId="0" applyFill="1" applyBorder="1" applyAlignment="1">
      <alignment horizontal="left" wrapText="1"/>
    </xf>
    <xf numFmtId="0" fontId="0" fillId="10" borderId="1" xfId="0" applyFill="1" applyBorder="1" applyAlignment="1">
      <alignment horizontal="center"/>
    </xf>
    <xf numFmtId="0" fontId="0" fillId="11" borderId="1" xfId="0" applyFill="1" applyBorder="1" applyAlignment="1">
      <alignment horizontal="left" wrapText="1"/>
    </xf>
    <xf numFmtId="0" fontId="0" fillId="12" borderId="4" xfId="0" applyFill="1" applyBorder="1" applyAlignment="1">
      <alignment horizontal="center"/>
    </xf>
    <xf numFmtId="0" fontId="0" fillId="14" borderId="1" xfId="0" applyFill="1" applyBorder="1" applyAlignment="1">
      <alignment horizontal="left" wrapText="1"/>
    </xf>
    <xf numFmtId="0" fontId="0" fillId="15" borderId="4" xfId="0" applyFill="1" applyBorder="1" applyAlignment="1">
      <alignment horizontal="center"/>
    </xf>
    <xf numFmtId="1" fontId="0" fillId="0" borderId="1" xfId="0" applyNumberFormat="1" applyBorder="1" applyAlignment="1">
      <alignment vertical="center" wrapTex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mruColors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10</xdr:row>
      <xdr:rowOff>0</xdr:rowOff>
    </xdr:from>
    <xdr:to>
      <xdr:col>1</xdr:col>
      <xdr:colOff>304800</xdr:colOff>
      <xdr:row>10</xdr:row>
      <xdr:rowOff>304800</xdr:rowOff>
    </xdr:to>
    <xdr:sp macro="" textlink="">
      <xdr:nvSpPr>
        <xdr:cNvPr id="1032" name="AutoShape 8">
          <a:extLst>
            <a:ext uri="{FF2B5EF4-FFF2-40B4-BE49-F238E27FC236}">
              <a16:creationId xmlns:a16="http://schemas.microsoft.com/office/drawing/2014/main" id="{19B434BF-10E9-0268-E4B1-1785606651C0}"/>
            </a:ext>
          </a:extLst>
        </xdr:cNvPr>
        <xdr:cNvSpPr>
          <a:spLocks noChangeAspect="1" noChangeArrowheads="1"/>
        </xdr:cNvSpPr>
      </xdr:nvSpPr>
      <xdr:spPr bwMode="auto">
        <a:xfrm>
          <a:off x="933450" y="228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9F078-AB09-4C52-9D01-92A39B93EDC3}">
  <dimension ref="B2:N56"/>
  <sheetViews>
    <sheetView tabSelected="1" zoomScale="80" zoomScaleNormal="80" workbookViewId="0">
      <selection activeCell="H12" sqref="H12"/>
    </sheetView>
  </sheetViews>
  <sheetFormatPr baseColWidth="10" defaultRowHeight="15" x14ac:dyDescent="0.25"/>
  <cols>
    <col min="2" max="2" width="15.42578125" customWidth="1"/>
    <col min="3" max="3" width="30.42578125" customWidth="1"/>
    <col min="4" max="4" width="15.85546875" customWidth="1"/>
    <col min="5" max="5" width="16.85546875" customWidth="1"/>
    <col min="6" max="6" width="20.85546875" customWidth="1"/>
    <col min="7" max="7" width="25.7109375" customWidth="1"/>
    <col min="8" max="8" width="14.42578125" customWidth="1"/>
    <col min="9" max="9" width="12.5703125" customWidth="1"/>
    <col min="11" max="11" width="11.42578125" customWidth="1"/>
    <col min="12" max="12" width="33.140625" customWidth="1"/>
    <col min="14" max="14" width="21.28515625" customWidth="1"/>
  </cols>
  <sheetData>
    <row r="2" spans="2:14" ht="30" x14ac:dyDescent="0.25">
      <c r="B2" s="13" t="s">
        <v>8</v>
      </c>
      <c r="C2" s="13" t="s">
        <v>9</v>
      </c>
      <c r="D2" s="13" t="s">
        <v>10</v>
      </c>
      <c r="E2" s="21" t="s">
        <v>11</v>
      </c>
      <c r="F2" s="14" t="s">
        <v>12</v>
      </c>
      <c r="G2" s="13" t="s">
        <v>13</v>
      </c>
    </row>
    <row r="3" spans="2:14" x14ac:dyDescent="0.25">
      <c r="B3" s="15" t="s">
        <v>0</v>
      </c>
      <c r="C3" s="1" t="s">
        <v>4</v>
      </c>
      <c r="D3" s="64">
        <f>G3/F3</f>
        <v>242.96</v>
      </c>
      <c r="E3" s="40">
        <v>3000000</v>
      </c>
      <c r="F3" s="10">
        <f>E3/160</f>
        <v>18750</v>
      </c>
      <c r="G3" s="9">
        <f>SUM(E3+D20)</f>
        <v>4555500</v>
      </c>
    </row>
    <row r="4" spans="2:14" x14ac:dyDescent="0.25">
      <c r="B4" s="15" t="s">
        <v>1</v>
      </c>
      <c r="C4" s="1" t="s">
        <v>5</v>
      </c>
      <c r="D4" s="8"/>
      <c r="E4" s="41">
        <v>2800000</v>
      </c>
      <c r="F4" s="10"/>
      <c r="G4" s="9">
        <v>4432120</v>
      </c>
    </row>
    <row r="5" spans="2:14" x14ac:dyDescent="0.25">
      <c r="B5" s="15" t="s">
        <v>2</v>
      </c>
      <c r="C5" s="1" t="s">
        <v>6</v>
      </c>
      <c r="D5" s="7"/>
      <c r="E5" s="42">
        <v>3500000</v>
      </c>
      <c r="F5" s="10"/>
      <c r="G5" s="9">
        <v>5539150</v>
      </c>
    </row>
    <row r="6" spans="2:14" x14ac:dyDescent="0.25">
      <c r="B6" s="15" t="s">
        <v>3</v>
      </c>
      <c r="C6" s="1" t="s">
        <v>7</v>
      </c>
      <c r="D6" s="1"/>
      <c r="E6" s="43">
        <v>1800000</v>
      </c>
      <c r="F6" s="10"/>
      <c r="G6" s="9">
        <v>2849220</v>
      </c>
    </row>
    <row r="8" spans="2:14" x14ac:dyDescent="0.25">
      <c r="B8" s="51" t="s">
        <v>35</v>
      </c>
      <c r="C8" s="51"/>
      <c r="D8" s="51"/>
      <c r="F8" s="45"/>
      <c r="G8" s="45"/>
      <c r="H8" s="45"/>
      <c r="L8" s="50" t="s">
        <v>96</v>
      </c>
      <c r="M8" s="50"/>
      <c r="N8" s="50"/>
    </row>
    <row r="9" spans="2:14" ht="30" x14ac:dyDescent="0.25">
      <c r="B9" s="16" t="s">
        <v>35</v>
      </c>
      <c r="C9" s="17" t="s">
        <v>43</v>
      </c>
      <c r="D9" s="16" t="s">
        <v>92</v>
      </c>
      <c r="E9" s="16" t="s">
        <v>93</v>
      </c>
      <c r="F9" s="16" t="s">
        <v>94</v>
      </c>
      <c r="G9" s="16" t="s">
        <v>95</v>
      </c>
      <c r="L9" s="47" t="s">
        <v>17</v>
      </c>
      <c r="M9" s="48" t="s">
        <v>24</v>
      </c>
      <c r="N9" s="47" t="s">
        <v>30</v>
      </c>
    </row>
    <row r="10" spans="2:14" ht="45" x14ac:dyDescent="0.25">
      <c r="B10" s="18" t="s">
        <v>14</v>
      </c>
      <c r="C10" s="39">
        <v>8.5000000000000006E-2</v>
      </c>
      <c r="D10" s="46">
        <f>C10*E$3</f>
        <v>255000.00000000003</v>
      </c>
      <c r="E10" s="46"/>
      <c r="F10" s="46"/>
      <c r="G10" s="46"/>
      <c r="L10" s="2" t="s">
        <v>14</v>
      </c>
      <c r="M10" s="4" t="s">
        <v>25</v>
      </c>
      <c r="N10" s="5" t="s">
        <v>31</v>
      </c>
    </row>
    <row r="11" spans="2:14" x14ac:dyDescent="0.25">
      <c r="B11" s="18" t="s">
        <v>36</v>
      </c>
      <c r="C11" s="22">
        <v>0.12</v>
      </c>
      <c r="D11" s="46">
        <f>C11*E$3</f>
        <v>360000</v>
      </c>
      <c r="E11" s="9"/>
      <c r="F11" s="9"/>
      <c r="G11" s="9"/>
      <c r="L11" s="2" t="s">
        <v>15</v>
      </c>
      <c r="M11" s="6">
        <v>0.12</v>
      </c>
      <c r="N11" s="5" t="s">
        <v>31</v>
      </c>
    </row>
    <row r="12" spans="2:14" ht="30" customHeight="1" x14ac:dyDescent="0.25">
      <c r="B12" s="18" t="s">
        <v>37</v>
      </c>
      <c r="C12" s="24">
        <v>5.1999999999999998E-3</v>
      </c>
      <c r="D12" s="46">
        <f>C12*E$3</f>
        <v>15600</v>
      </c>
      <c r="E12" s="9"/>
      <c r="F12" s="9"/>
      <c r="G12" s="9"/>
      <c r="L12" s="49" t="s">
        <v>16</v>
      </c>
      <c r="M12" s="4" t="s">
        <v>26</v>
      </c>
      <c r="N12" s="5" t="s">
        <v>32</v>
      </c>
    </row>
    <row r="13" spans="2:14" ht="30" x14ac:dyDescent="0.25">
      <c r="B13" s="19" t="s">
        <v>38</v>
      </c>
      <c r="C13" s="24">
        <v>0.04</v>
      </c>
      <c r="D13" s="46">
        <f>C13*E$3</f>
        <v>120000</v>
      </c>
      <c r="E13" s="9"/>
      <c r="F13" s="9"/>
      <c r="G13" s="9"/>
      <c r="L13" s="49" t="s">
        <v>18</v>
      </c>
      <c r="M13" s="6">
        <v>0.04</v>
      </c>
      <c r="N13" s="5" t="s">
        <v>33</v>
      </c>
    </row>
    <row r="14" spans="2:14" ht="30" x14ac:dyDescent="0.25">
      <c r="B14" s="18" t="s">
        <v>19</v>
      </c>
      <c r="C14" s="22">
        <v>0.02</v>
      </c>
      <c r="D14" s="46">
        <f>C14*E$3</f>
        <v>60000</v>
      </c>
      <c r="E14" s="9"/>
      <c r="F14" s="9"/>
      <c r="G14" s="9"/>
      <c r="L14" s="2" t="s">
        <v>19</v>
      </c>
      <c r="M14" s="6">
        <v>0.02</v>
      </c>
      <c r="N14" s="5" t="s">
        <v>33</v>
      </c>
    </row>
    <row r="15" spans="2:14" ht="30" x14ac:dyDescent="0.25">
      <c r="B15" s="18" t="s">
        <v>20</v>
      </c>
      <c r="C15" s="22">
        <v>0.03</v>
      </c>
      <c r="D15" s="46">
        <f>C15*E$3</f>
        <v>90000</v>
      </c>
      <c r="E15" s="9"/>
      <c r="F15" s="9"/>
      <c r="G15" s="9"/>
      <c r="L15" s="2" t="s">
        <v>20</v>
      </c>
      <c r="M15" s="6">
        <v>0.03</v>
      </c>
      <c r="N15" s="5" t="s">
        <v>33</v>
      </c>
    </row>
    <row r="16" spans="2:14" x14ac:dyDescent="0.25">
      <c r="B16" s="18" t="s">
        <v>39</v>
      </c>
      <c r="C16" s="38">
        <v>8.3299999999999999E-2</v>
      </c>
      <c r="D16" s="46">
        <f>C16*E$3</f>
        <v>249900</v>
      </c>
      <c r="E16" s="9"/>
      <c r="F16" s="9"/>
      <c r="G16" s="9"/>
      <c r="L16" s="49" t="s">
        <v>21</v>
      </c>
      <c r="M16" s="4" t="s">
        <v>27</v>
      </c>
      <c r="N16" s="5" t="s">
        <v>34</v>
      </c>
    </row>
    <row r="17" spans="2:14" x14ac:dyDescent="0.25">
      <c r="B17" s="18" t="s">
        <v>40</v>
      </c>
      <c r="C17" s="38">
        <v>8.3299999999999999E-2</v>
      </c>
      <c r="D17" s="46">
        <f>C17*E$3</f>
        <v>249900</v>
      </c>
      <c r="E17" s="9"/>
      <c r="F17" s="9"/>
      <c r="G17" s="9"/>
      <c r="L17" s="2" t="s">
        <v>22</v>
      </c>
      <c r="M17" s="4" t="s">
        <v>27</v>
      </c>
      <c r="N17" s="5" t="s">
        <v>34</v>
      </c>
    </row>
    <row r="18" spans="2:14" ht="30" x14ac:dyDescent="0.25">
      <c r="B18" s="19" t="s">
        <v>41</v>
      </c>
      <c r="C18" s="22">
        <v>0.01</v>
      </c>
      <c r="D18" s="46">
        <f>C18*E$3</f>
        <v>30000</v>
      </c>
      <c r="E18" s="9"/>
      <c r="F18" s="9"/>
      <c r="G18" s="9"/>
      <c r="L18" s="49" t="s">
        <v>23</v>
      </c>
      <c r="M18" s="6">
        <v>0.01</v>
      </c>
      <c r="N18" s="5" t="s">
        <v>34</v>
      </c>
    </row>
    <row r="19" spans="2:14" x14ac:dyDescent="0.25">
      <c r="B19" s="18" t="s">
        <v>28</v>
      </c>
      <c r="C19" s="38">
        <v>4.1700000000000001E-2</v>
      </c>
      <c r="D19" s="46">
        <f>C19*E$3</f>
        <v>125100</v>
      </c>
      <c r="E19" s="9"/>
      <c r="F19" s="9"/>
      <c r="G19" s="9"/>
      <c r="L19" s="2" t="s">
        <v>28</v>
      </c>
      <c r="M19" s="4" t="s">
        <v>29</v>
      </c>
      <c r="N19" s="5" t="s">
        <v>34</v>
      </c>
    </row>
    <row r="20" spans="2:14" x14ac:dyDescent="0.25">
      <c r="B20" s="20" t="s">
        <v>42</v>
      </c>
      <c r="C20" s="39">
        <f>SUM(C10+C11+C12+C13+C14+C15+C16+C17+C18+C19)</f>
        <v>0.51849999999999996</v>
      </c>
      <c r="D20" s="46">
        <f>SUM(D10+D11+D12+D13+D14+D15+D16+D17+D18+D19)</f>
        <v>1555500</v>
      </c>
      <c r="E20" s="9"/>
      <c r="F20" s="9"/>
      <c r="G20" s="9"/>
    </row>
    <row r="21" spans="2:14" x14ac:dyDescent="0.25">
      <c r="F21" s="44"/>
      <c r="G21" s="44"/>
      <c r="H21" s="44"/>
    </row>
    <row r="46" spans="2:2" x14ac:dyDescent="0.25">
      <c r="B46" s="11" t="s">
        <v>14</v>
      </c>
    </row>
    <row r="47" spans="2:2" x14ac:dyDescent="0.25">
      <c r="B47" s="11" t="s">
        <v>36</v>
      </c>
    </row>
    <row r="48" spans="2:2" x14ac:dyDescent="0.25">
      <c r="B48" s="11" t="s">
        <v>37</v>
      </c>
    </row>
    <row r="49" spans="2:2" ht="30" x14ac:dyDescent="0.25">
      <c r="B49" s="12" t="s">
        <v>38</v>
      </c>
    </row>
    <row r="50" spans="2:2" x14ac:dyDescent="0.25">
      <c r="B50" s="11" t="s">
        <v>19</v>
      </c>
    </row>
    <row r="51" spans="2:2" x14ac:dyDescent="0.25">
      <c r="B51" s="11" t="s">
        <v>20</v>
      </c>
    </row>
    <row r="52" spans="2:2" x14ac:dyDescent="0.25">
      <c r="B52" s="11" t="s">
        <v>39</v>
      </c>
    </row>
    <row r="53" spans="2:2" x14ac:dyDescent="0.25">
      <c r="B53" s="11" t="s">
        <v>40</v>
      </c>
    </row>
    <row r="54" spans="2:2" ht="30" x14ac:dyDescent="0.25">
      <c r="B54" s="12" t="s">
        <v>41</v>
      </c>
    </row>
    <row r="55" spans="2:2" x14ac:dyDescent="0.25">
      <c r="B55" s="11" t="s">
        <v>28</v>
      </c>
    </row>
    <row r="56" spans="2:2" x14ac:dyDescent="0.25">
      <c r="B56" s="11" t="s">
        <v>42</v>
      </c>
    </row>
  </sheetData>
  <mergeCells count="2">
    <mergeCell ref="L8:N8"/>
    <mergeCell ref="B8:D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3E64A-2CCB-493A-A72E-17F3E18DB11D}">
  <dimension ref="A3:T12"/>
  <sheetViews>
    <sheetView workbookViewId="0">
      <selection activeCell="O21" sqref="O21"/>
    </sheetView>
  </sheetViews>
  <sheetFormatPr baseColWidth="10" defaultRowHeight="15" x14ac:dyDescent="0.25"/>
  <cols>
    <col min="1" max="1" width="14" customWidth="1"/>
    <col min="2" max="2" width="20.7109375" customWidth="1"/>
    <col min="3" max="3" width="13" customWidth="1"/>
    <col min="8" max="8" width="12.5703125" customWidth="1"/>
    <col min="9" max="9" width="22.85546875" customWidth="1"/>
    <col min="10" max="10" width="12.7109375" customWidth="1"/>
    <col min="15" max="15" width="12.5703125" customWidth="1"/>
    <col min="16" max="16" width="22.85546875" customWidth="1"/>
  </cols>
  <sheetData>
    <row r="3" spans="1:20" x14ac:dyDescent="0.25">
      <c r="B3" s="58" t="s">
        <v>68</v>
      </c>
      <c r="C3" s="58"/>
      <c r="D3" s="58"/>
      <c r="E3" s="58"/>
      <c r="F3" s="58"/>
      <c r="I3" s="60" t="s">
        <v>69</v>
      </c>
      <c r="J3" s="60"/>
      <c r="K3" s="60"/>
      <c r="L3" s="60"/>
      <c r="M3" s="60"/>
      <c r="P3" s="62" t="s">
        <v>80</v>
      </c>
      <c r="Q3" s="62"/>
      <c r="R3" s="62"/>
      <c r="S3" s="62"/>
      <c r="T3" s="62"/>
    </row>
    <row r="4" spans="1:20" x14ac:dyDescent="0.25">
      <c r="B4" s="30" t="s">
        <v>44</v>
      </c>
      <c r="C4" s="30" t="s">
        <v>45</v>
      </c>
      <c r="D4" s="59" t="s">
        <v>46</v>
      </c>
      <c r="E4" s="59"/>
      <c r="F4" s="59"/>
      <c r="I4" s="33" t="s">
        <v>44</v>
      </c>
      <c r="J4" s="33" t="s">
        <v>45</v>
      </c>
      <c r="K4" s="61" t="s">
        <v>46</v>
      </c>
      <c r="L4" s="61"/>
      <c r="M4" s="61"/>
      <c r="P4" s="36" t="s">
        <v>44</v>
      </c>
      <c r="Q4" s="36" t="s">
        <v>45</v>
      </c>
      <c r="R4" s="63" t="s">
        <v>46</v>
      </c>
      <c r="S4" s="63"/>
      <c r="T4" s="63"/>
    </row>
    <row r="5" spans="1:20" ht="28.5" customHeight="1" x14ac:dyDescent="0.25">
      <c r="A5" s="31" t="s">
        <v>47</v>
      </c>
      <c r="B5" s="23" t="s">
        <v>54</v>
      </c>
      <c r="C5" s="28">
        <v>1196883</v>
      </c>
      <c r="D5" s="54" t="s">
        <v>61</v>
      </c>
      <c r="E5" s="54"/>
      <c r="F5" s="54"/>
      <c r="H5" s="34" t="s">
        <v>47</v>
      </c>
      <c r="I5" s="23" t="s">
        <v>54</v>
      </c>
      <c r="J5" s="27">
        <v>1196883</v>
      </c>
      <c r="K5" s="52" t="s">
        <v>73</v>
      </c>
      <c r="L5" s="52"/>
      <c r="M5" s="52"/>
      <c r="O5" s="2" t="s">
        <v>47</v>
      </c>
      <c r="P5" s="23" t="s">
        <v>81</v>
      </c>
      <c r="Q5" s="26">
        <v>1213134</v>
      </c>
      <c r="R5" s="52" t="s">
        <v>85</v>
      </c>
      <c r="S5" s="52"/>
      <c r="T5" s="52"/>
    </row>
    <row r="6" spans="1:20" ht="42.75" customHeight="1" x14ac:dyDescent="0.25">
      <c r="A6" s="31" t="s">
        <v>48</v>
      </c>
      <c r="B6" s="23" t="s">
        <v>55</v>
      </c>
      <c r="C6" s="28">
        <v>1834000</v>
      </c>
      <c r="D6" s="52" t="s">
        <v>62</v>
      </c>
      <c r="E6" s="52"/>
      <c r="F6" s="52"/>
      <c r="H6" s="34" t="s">
        <v>48</v>
      </c>
      <c r="I6" s="25" t="s">
        <v>79</v>
      </c>
      <c r="J6" s="23" t="s">
        <v>79</v>
      </c>
      <c r="K6" s="53" t="s">
        <v>79</v>
      </c>
      <c r="L6" s="53"/>
      <c r="M6" s="53"/>
      <c r="O6" s="2" t="s">
        <v>48</v>
      </c>
      <c r="P6" s="23" t="s">
        <v>79</v>
      </c>
      <c r="Q6" s="23" t="s">
        <v>79</v>
      </c>
      <c r="R6" s="53" t="s">
        <v>79</v>
      </c>
      <c r="S6" s="53"/>
      <c r="T6" s="53"/>
    </row>
    <row r="7" spans="1:20" ht="26.25" customHeight="1" x14ac:dyDescent="0.25">
      <c r="A7" s="31" t="s">
        <v>49</v>
      </c>
      <c r="B7" s="23" t="s">
        <v>56</v>
      </c>
      <c r="C7" s="27">
        <v>1600000</v>
      </c>
      <c r="D7" s="52" t="s">
        <v>63</v>
      </c>
      <c r="E7" s="52"/>
      <c r="F7" s="52"/>
      <c r="H7" s="34" t="s">
        <v>49</v>
      </c>
      <c r="I7" s="23" t="s">
        <v>70</v>
      </c>
      <c r="J7" s="27">
        <v>1600000</v>
      </c>
      <c r="K7" s="52" t="s">
        <v>74</v>
      </c>
      <c r="L7" s="52"/>
      <c r="M7" s="52"/>
      <c r="O7" s="2" t="s">
        <v>49</v>
      </c>
      <c r="P7" s="23" t="s">
        <v>82</v>
      </c>
      <c r="Q7" s="26">
        <v>1600000</v>
      </c>
      <c r="R7" s="52" t="s">
        <v>86</v>
      </c>
      <c r="S7" s="52"/>
      <c r="T7" s="52"/>
    </row>
    <row r="8" spans="1:20" ht="28.5" customHeight="1" x14ac:dyDescent="0.25">
      <c r="A8" s="31" t="s">
        <v>50</v>
      </c>
      <c r="B8" s="23" t="s">
        <v>57</v>
      </c>
      <c r="C8" s="27">
        <v>996959</v>
      </c>
      <c r="D8" s="55" t="s">
        <v>64</v>
      </c>
      <c r="E8" s="56"/>
      <c r="F8" s="57"/>
      <c r="H8" s="34" t="s">
        <v>50</v>
      </c>
      <c r="I8" s="23" t="s">
        <v>57</v>
      </c>
      <c r="J8" s="27">
        <v>996959</v>
      </c>
      <c r="K8" s="52" t="s">
        <v>75</v>
      </c>
      <c r="L8" s="52"/>
      <c r="M8" s="52"/>
      <c r="O8" s="2" t="s">
        <v>50</v>
      </c>
      <c r="P8" s="23" t="s">
        <v>57</v>
      </c>
      <c r="Q8" s="26">
        <v>996959</v>
      </c>
      <c r="R8" s="52" t="s">
        <v>87</v>
      </c>
      <c r="S8" s="52"/>
      <c r="T8" s="52"/>
    </row>
    <row r="9" spans="1:20" ht="28.5" customHeight="1" x14ac:dyDescent="0.25">
      <c r="A9" s="31" t="s">
        <v>51</v>
      </c>
      <c r="B9" s="23" t="s">
        <v>58</v>
      </c>
      <c r="C9" s="27">
        <v>650000</v>
      </c>
      <c r="D9" s="52" t="s">
        <v>65</v>
      </c>
      <c r="E9" s="52"/>
      <c r="F9" s="52"/>
      <c r="H9" s="34" t="s">
        <v>51</v>
      </c>
      <c r="I9" s="23" t="s">
        <v>58</v>
      </c>
      <c r="J9" s="27">
        <v>650000</v>
      </c>
      <c r="K9" s="52" t="s">
        <v>76</v>
      </c>
      <c r="L9" s="52"/>
      <c r="M9" s="52"/>
      <c r="O9" s="2" t="s">
        <v>51</v>
      </c>
      <c r="P9" s="23" t="s">
        <v>83</v>
      </c>
      <c r="Q9" s="26">
        <v>440000</v>
      </c>
      <c r="R9" s="52" t="s">
        <v>88</v>
      </c>
      <c r="S9" s="52"/>
      <c r="T9" s="52"/>
    </row>
    <row r="10" spans="1:20" ht="27" customHeight="1" x14ac:dyDescent="0.25">
      <c r="A10" s="31" t="s">
        <v>53</v>
      </c>
      <c r="B10" s="23" t="s">
        <v>59</v>
      </c>
      <c r="C10" s="26">
        <v>420000</v>
      </c>
      <c r="D10" s="52" t="s">
        <v>66</v>
      </c>
      <c r="E10" s="52"/>
      <c r="F10" s="52"/>
      <c r="H10" s="35" t="s">
        <v>53</v>
      </c>
      <c r="I10" s="23" t="s">
        <v>71</v>
      </c>
      <c r="J10" s="27">
        <v>420000</v>
      </c>
      <c r="K10" s="52" t="s">
        <v>77</v>
      </c>
      <c r="L10" s="52"/>
      <c r="M10" s="52"/>
      <c r="O10" s="3" t="s">
        <v>53</v>
      </c>
      <c r="P10" s="23" t="s">
        <v>84</v>
      </c>
      <c r="Q10" s="26">
        <v>425000</v>
      </c>
      <c r="R10" s="52" t="s">
        <v>89</v>
      </c>
      <c r="S10" s="52"/>
      <c r="T10" s="52"/>
    </row>
    <row r="11" spans="1:20" ht="27.75" customHeight="1" x14ac:dyDescent="0.25">
      <c r="A11" s="31" t="s">
        <v>52</v>
      </c>
      <c r="B11" s="23" t="s">
        <v>60</v>
      </c>
      <c r="C11" s="26">
        <v>185000</v>
      </c>
      <c r="D11" s="52" t="s">
        <v>67</v>
      </c>
      <c r="E11" s="52"/>
      <c r="F11" s="52"/>
      <c r="H11" s="34" t="s">
        <v>52</v>
      </c>
      <c r="I11" s="23" t="s">
        <v>72</v>
      </c>
      <c r="J11" s="27">
        <v>185000</v>
      </c>
      <c r="K11" s="52" t="s">
        <v>78</v>
      </c>
      <c r="L11" s="52"/>
      <c r="M11" s="52"/>
      <c r="O11" s="2" t="s">
        <v>52</v>
      </c>
      <c r="P11" s="23" t="s">
        <v>72</v>
      </c>
      <c r="Q11" s="26">
        <v>185000</v>
      </c>
      <c r="R11" s="52" t="s">
        <v>90</v>
      </c>
      <c r="S11" s="52"/>
      <c r="T11" s="52"/>
    </row>
    <row r="12" spans="1:20" x14ac:dyDescent="0.25">
      <c r="B12" s="32" t="s">
        <v>91</v>
      </c>
      <c r="C12" s="29">
        <v>6880000</v>
      </c>
      <c r="I12" s="34" t="s">
        <v>91</v>
      </c>
      <c r="J12" s="27">
        <v>5050000</v>
      </c>
      <c r="P12" s="37" t="s">
        <v>91</v>
      </c>
      <c r="Q12" s="26">
        <v>4856000</v>
      </c>
    </row>
  </sheetData>
  <mergeCells count="27">
    <mergeCell ref="B3:F3"/>
    <mergeCell ref="D4:F4"/>
    <mergeCell ref="I3:M3"/>
    <mergeCell ref="K4:M4"/>
    <mergeCell ref="P3:T3"/>
    <mergeCell ref="R4:T4"/>
    <mergeCell ref="D11:F11"/>
    <mergeCell ref="K5:M5"/>
    <mergeCell ref="K6:M6"/>
    <mergeCell ref="K7:M7"/>
    <mergeCell ref="K8:M8"/>
    <mergeCell ref="K9:M9"/>
    <mergeCell ref="K10:M10"/>
    <mergeCell ref="K11:M11"/>
    <mergeCell ref="D5:F5"/>
    <mergeCell ref="D6:F6"/>
    <mergeCell ref="D7:F7"/>
    <mergeCell ref="D8:F8"/>
    <mergeCell ref="D9:F9"/>
    <mergeCell ref="D10:F10"/>
    <mergeCell ref="R11:T11"/>
    <mergeCell ref="R5:T5"/>
    <mergeCell ref="R6:T6"/>
    <mergeCell ref="R7:T7"/>
    <mergeCell ref="R8:T8"/>
    <mergeCell ref="R9:T9"/>
    <mergeCell ref="R10:T1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 de costoss</vt:lpstr>
      <vt:lpstr>Componentes PC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Aprendiz</dc:creator>
  <cp:lastModifiedBy>Aprendiz</cp:lastModifiedBy>
  <dcterms:created xsi:type="dcterms:W3CDTF">2026-03-16T22:14:24Z</dcterms:created>
  <dcterms:modified xsi:type="dcterms:W3CDTF">2026-03-18T17:26:29Z</dcterms:modified>
</cp:coreProperties>
</file>