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rendiz\Desktop\XD\RoyalPets\trimestre 2\"/>
    </mc:Choice>
  </mc:AlternateContent>
  <xr:revisionPtr revIDLastSave="0" documentId="13_ncr:1_{1F2F0CA3-941E-47A8-91C3-042CFF8ABAAF}" xr6:coauthVersionLast="47" xr6:coauthVersionMax="47" xr10:uidLastSave="{00000000-0000-0000-0000-000000000000}"/>
  <bookViews>
    <workbookView xWindow="-120" yWindow="-120" windowWidth="29040" windowHeight="15720" xr2:uid="{CE73354B-E448-4686-BDAE-33FB59E1EA3A}"/>
  </bookViews>
  <sheets>
    <sheet name="Costos empleados" sheetId="1" r:id="rId1"/>
    <sheet name="Fichas técnicas.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" i="1" l="1"/>
  <c r="G11" i="1"/>
  <c r="G12" i="1"/>
  <c r="G13" i="1"/>
  <c r="G14" i="1"/>
  <c r="G15" i="1"/>
  <c r="G16" i="1"/>
  <c r="G17" i="1"/>
  <c r="G18" i="1"/>
  <c r="G19" i="1"/>
  <c r="G10" i="1"/>
  <c r="F10" i="1"/>
  <c r="F20" i="1" s="1"/>
  <c r="F11" i="1"/>
  <c r="F12" i="1"/>
  <c r="F13" i="1"/>
  <c r="F14" i="1"/>
  <c r="F15" i="1"/>
  <c r="F16" i="1"/>
  <c r="F17" i="1"/>
  <c r="F18" i="1"/>
  <c r="F19" i="1"/>
  <c r="E20" i="1"/>
  <c r="F3" i="1"/>
  <c r="D20" i="1"/>
  <c r="D16" i="1"/>
  <c r="E11" i="1"/>
  <c r="E12" i="1"/>
  <c r="E13" i="1"/>
  <c r="E14" i="1"/>
  <c r="E15" i="1"/>
  <c r="E16" i="1"/>
  <c r="E17" i="1"/>
  <c r="E18" i="1"/>
  <c r="E19" i="1"/>
  <c r="E10" i="1"/>
  <c r="D10" i="1"/>
  <c r="R10" i="1"/>
  <c r="D11" i="1"/>
  <c r="D12" i="1"/>
  <c r="D13" i="1"/>
  <c r="D14" i="1"/>
  <c r="D15" i="1"/>
  <c r="D17" i="1"/>
  <c r="D18" i="1"/>
  <c r="D19" i="1"/>
  <c r="G3" i="1" l="1"/>
</calcChain>
</file>

<file path=xl/sharedStrings.xml><?xml version="1.0" encoding="utf-8"?>
<sst xmlns="http://schemas.openxmlformats.org/spreadsheetml/2006/main" count="131" uniqueCount="54">
  <si>
    <t>Analista</t>
  </si>
  <si>
    <t>Arquitecto</t>
  </si>
  <si>
    <t>Desarrollador</t>
  </si>
  <si>
    <t>Tester / QA</t>
  </si>
  <si>
    <t>Requisitos, análisis</t>
  </si>
  <si>
    <t>Diseño, arquitectura</t>
  </si>
  <si>
    <t>Implementación, codificación</t>
  </si>
  <si>
    <t>Pruebas, control calidad</t>
  </si>
  <si>
    <t>Rol</t>
  </si>
  <si>
    <t>Horas estimadas</t>
  </si>
  <si>
    <t>Salario mensual promedio (COP)</t>
  </si>
  <si>
    <t>Costo por hora (COP)¹</t>
  </si>
  <si>
    <t>Costo total estimado (COP)</t>
  </si>
  <si>
    <t>Salud</t>
  </si>
  <si>
    <t>Pensión</t>
  </si>
  <si>
    <t>ARL (Riesgos laborales)</t>
  </si>
  <si>
    <t>Porcentajes legales obligatorios en Colombia para la empresa</t>
  </si>
  <si>
    <t xml:space="preserve">Prestaciones </t>
  </si>
  <si>
    <t>Caja de compensación familiar</t>
  </si>
  <si>
    <t>SENA</t>
  </si>
  <si>
    <t>ICBF</t>
  </si>
  <si>
    <t>Prima de servicios</t>
  </si>
  <si>
    <t>Cesantías</t>
  </si>
  <si>
    <t>Intereses sobre cesantías</t>
  </si>
  <si>
    <t>Porcentaje sobre salario mensual</t>
  </si>
  <si>
    <t>8.5%</t>
  </si>
  <si>
    <t>6.96%</t>
  </si>
  <si>
    <t>8.33%</t>
  </si>
  <si>
    <t>Vacaciones</t>
  </si>
  <si>
    <t>4.17%</t>
  </si>
  <si>
    <t>Observaciones</t>
  </si>
  <si>
    <t>El trabajador paga 4%</t>
  </si>
  <si>
    <t>Depende del nivel de riesgo</t>
  </si>
  <si>
    <t>Parafiscales</t>
  </si>
  <si>
    <t>Prestación social</t>
  </si>
  <si>
    <t>120hrs</t>
  </si>
  <si>
    <t>80hrs</t>
  </si>
  <si>
    <t>320hrs</t>
  </si>
  <si>
    <t>Prestaciones analista.</t>
  </si>
  <si>
    <t xml:space="preserve">Pensión </t>
  </si>
  <si>
    <t>ARL</t>
  </si>
  <si>
    <t>Caja de compensación</t>
  </si>
  <si>
    <t>Prima</t>
  </si>
  <si>
    <t xml:space="preserve">Cesantías </t>
  </si>
  <si>
    <t xml:space="preserve">Interéses cesantías </t>
  </si>
  <si>
    <t>Total</t>
  </si>
  <si>
    <t>Prestaciones arquitecto.</t>
  </si>
  <si>
    <t xml:space="preserve">Porcentaje </t>
  </si>
  <si>
    <t>Valor total COP</t>
  </si>
  <si>
    <t>58.29%</t>
  </si>
  <si>
    <t>Prestaciones desarrollador.</t>
  </si>
  <si>
    <t>Prestaciones tester.</t>
  </si>
  <si>
    <t>Fase principal.</t>
  </si>
  <si>
    <t xml:space="preserve">Desarrollador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</si>
</sst>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[$$-240A]\ * #,##0.00_-;\-[$$-240A]\ * #,##0.00_-;_-[$$-240A]\ * &quot;-&quot;??_-;_-@_-"/>
    <numFmt numFmtId="167" formatCode="_-&quot;$&quot;\ * #,##0_-;\-&quot;$&quot;\ * #,##0_-;_-&quot;$&quot;\ * &quot;-&quot;??_-;_-@_-"/>
    <numFmt numFmtId="168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/>
    <xf numFmtId="0" fontId="0" fillId="6" borderId="1" xfId="0" applyFill="1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9" fontId="0" fillId="0" borderId="1" xfId="0" applyNumberFormat="1" applyBorder="1" applyAlignment="1">
      <alignment horizontal="center" wrapText="1"/>
    </xf>
    <xf numFmtId="0" fontId="0" fillId="6" borderId="1" xfId="0" applyFill="1" applyBorder="1" applyAlignment="1">
      <alignment wrapText="1"/>
    </xf>
    <xf numFmtId="0" fontId="0" fillId="0" borderId="2" xfId="0" applyBorder="1"/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164" fontId="0" fillId="0" borderId="1" xfId="0" applyNumberFormat="1" applyBorder="1"/>
    <xf numFmtId="164" fontId="0" fillId="0" borderId="1" xfId="1" applyNumberFormat="1" applyFont="1" applyBorder="1" applyAlignment="1">
      <alignment horizontal="left"/>
    </xf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/>
    <xf numFmtId="0" fontId="3" fillId="7" borderId="1" xfId="0" applyFont="1" applyFill="1" applyBorder="1"/>
    <xf numFmtId="0" fontId="3" fillId="7" borderId="1" xfId="0" applyFont="1" applyFill="1" applyBorder="1" applyAlignment="1">
      <alignment wrapText="1"/>
    </xf>
    <xf numFmtId="0" fontId="3" fillId="9" borderId="1" xfId="0" applyFont="1" applyFill="1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44" fontId="0" fillId="0" borderId="1" xfId="1" applyFont="1" applyBorder="1" applyAlignment="1">
      <alignment wrapText="1"/>
    </xf>
    <xf numFmtId="44" fontId="0" fillId="0" borderId="1" xfId="1" applyFont="1" applyBorder="1" applyAlignment="1">
      <alignment vertical="center" wrapText="1"/>
    </xf>
    <xf numFmtId="44" fontId="0" fillId="0" borderId="1" xfId="1" applyFont="1" applyBorder="1"/>
    <xf numFmtId="0" fontId="2" fillId="9" borderId="1" xfId="0" applyFont="1" applyFill="1" applyBorder="1" applyAlignment="1">
      <alignment horizontal="center"/>
    </xf>
    <xf numFmtId="0" fontId="0" fillId="5" borderId="1" xfId="0" applyFill="1" applyBorder="1" applyAlignment="1">
      <alignment wrapText="1"/>
    </xf>
    <xf numFmtId="167" fontId="2" fillId="2" borderId="1" xfId="1" applyNumberFormat="1" applyFont="1" applyFill="1" applyBorder="1" applyAlignment="1">
      <alignment horizontal="center" wrapText="1"/>
    </xf>
    <xf numFmtId="167" fontId="0" fillId="0" borderId="3" xfId="1" applyNumberFormat="1" applyFont="1" applyBorder="1" applyAlignment="1">
      <alignment horizontal="left" vertical="center"/>
    </xf>
    <xf numFmtId="167" fontId="0" fillId="0" borderId="3" xfId="1" applyNumberFormat="1" applyFont="1" applyBorder="1" applyAlignment="1">
      <alignment vertical="center" wrapText="1"/>
    </xf>
    <xf numFmtId="167" fontId="0" fillId="0" borderId="0" xfId="1" applyNumberFormat="1" applyFont="1" applyAlignment="1">
      <alignment vertical="center" wrapText="1"/>
    </xf>
    <xf numFmtId="167" fontId="0" fillId="0" borderId="3" xfId="1" applyNumberFormat="1" applyFont="1" applyBorder="1"/>
    <xf numFmtId="167" fontId="0" fillId="0" borderId="0" xfId="1" applyNumberFormat="1" applyFont="1"/>
    <xf numFmtId="10" fontId="0" fillId="0" borderId="1" xfId="2" applyNumberFormat="1" applyFont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167" fontId="0" fillId="0" borderId="1" xfId="1" applyNumberFormat="1" applyFont="1" applyBorder="1" applyAlignment="1">
      <alignment horizontal="right" vertical="center"/>
    </xf>
    <xf numFmtId="168" fontId="0" fillId="0" borderId="1" xfId="2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 wrapText="1"/>
    </xf>
    <xf numFmtId="167" fontId="3" fillId="8" borderId="1" xfId="1" applyNumberFormat="1" applyFont="1" applyFill="1" applyBorder="1" applyAlignment="1">
      <alignment wrapText="1"/>
    </xf>
    <xf numFmtId="10" fontId="0" fillId="0" borderId="1" xfId="2" applyNumberFormat="1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F078-AB09-4C52-9D01-92A39B93EDC3}">
  <dimension ref="B2:V56"/>
  <sheetViews>
    <sheetView tabSelected="1" workbookViewId="0">
      <selection activeCell="F4" sqref="F4"/>
    </sheetView>
  </sheetViews>
  <sheetFormatPr baseColWidth="10" defaultRowHeight="15" x14ac:dyDescent="0.25"/>
  <cols>
    <col min="2" max="2" width="15.42578125" customWidth="1"/>
    <col min="3" max="3" width="30.42578125" customWidth="1"/>
    <col min="4" max="4" width="15.85546875" customWidth="1"/>
    <col min="5" max="5" width="16.85546875" style="38" customWidth="1"/>
    <col min="6" max="6" width="20.85546875" customWidth="1"/>
    <col min="7" max="7" width="25.7109375" customWidth="1"/>
    <col min="8" max="8" width="14.42578125" customWidth="1"/>
    <col min="9" max="9" width="12.5703125" customWidth="1"/>
    <col min="11" max="11" width="11.42578125" customWidth="1"/>
    <col min="12" max="12" width="33.140625" customWidth="1"/>
  </cols>
  <sheetData>
    <row r="2" spans="2:22" ht="30" x14ac:dyDescent="0.25">
      <c r="B2" s="16" t="s">
        <v>8</v>
      </c>
      <c r="C2" s="16" t="s">
        <v>52</v>
      </c>
      <c r="D2" s="16" t="s">
        <v>9</v>
      </c>
      <c r="E2" s="33" t="s">
        <v>10</v>
      </c>
      <c r="F2" s="17" t="s">
        <v>11</v>
      </c>
      <c r="G2" s="16" t="s">
        <v>12</v>
      </c>
    </row>
    <row r="3" spans="2:22" x14ac:dyDescent="0.25">
      <c r="B3" s="18" t="s">
        <v>0</v>
      </c>
      <c r="C3" s="1" t="s">
        <v>4</v>
      </c>
      <c r="D3" s="10" t="s">
        <v>35</v>
      </c>
      <c r="E3" s="34">
        <v>3000000</v>
      </c>
      <c r="F3" s="13">
        <f>G3/160</f>
        <v>28472.25</v>
      </c>
      <c r="G3" s="12">
        <f>E3+D20</f>
        <v>4555560</v>
      </c>
    </row>
    <row r="4" spans="2:22" x14ac:dyDescent="0.25">
      <c r="B4" s="18" t="s">
        <v>1</v>
      </c>
      <c r="C4" s="1" t="s">
        <v>5</v>
      </c>
      <c r="D4" s="11" t="s">
        <v>36</v>
      </c>
      <c r="E4" s="35">
        <v>2800000</v>
      </c>
      <c r="F4" s="13">
        <v>27700</v>
      </c>
      <c r="G4" s="12">
        <v>4432120</v>
      </c>
    </row>
    <row r="5" spans="2:22" x14ac:dyDescent="0.25">
      <c r="B5" s="18" t="s">
        <v>2</v>
      </c>
      <c r="C5" s="1" t="s">
        <v>6</v>
      </c>
      <c r="D5" s="9" t="s">
        <v>37</v>
      </c>
      <c r="E5" s="36">
        <v>3500000</v>
      </c>
      <c r="F5" s="13">
        <v>34600</v>
      </c>
      <c r="G5" s="12">
        <v>5539150</v>
      </c>
    </row>
    <row r="6" spans="2:22" x14ac:dyDescent="0.25">
      <c r="B6" s="18" t="s">
        <v>3</v>
      </c>
      <c r="C6" s="1" t="s">
        <v>7</v>
      </c>
      <c r="D6" s="1" t="s">
        <v>35</v>
      </c>
      <c r="E6" s="37">
        <v>1800000</v>
      </c>
      <c r="F6" s="13">
        <v>17800</v>
      </c>
      <c r="G6" s="12">
        <v>2849220</v>
      </c>
    </row>
    <row r="8" spans="2:22" x14ac:dyDescent="0.25">
      <c r="B8" s="31" t="s">
        <v>38</v>
      </c>
      <c r="C8" s="31"/>
      <c r="D8" s="31"/>
      <c r="P8" s="31" t="s">
        <v>46</v>
      </c>
      <c r="Q8" s="31"/>
      <c r="R8" s="31"/>
      <c r="T8" s="32" t="s">
        <v>16</v>
      </c>
      <c r="U8" s="32"/>
      <c r="V8" s="32"/>
    </row>
    <row r="9" spans="2:22" ht="30" x14ac:dyDescent="0.25">
      <c r="B9" s="19" t="s">
        <v>38</v>
      </c>
      <c r="C9" s="20" t="s">
        <v>47</v>
      </c>
      <c r="D9" s="19" t="s">
        <v>0</v>
      </c>
      <c r="E9" s="46" t="s">
        <v>1</v>
      </c>
      <c r="F9" s="46" t="s">
        <v>53</v>
      </c>
      <c r="G9" s="46" t="s">
        <v>3</v>
      </c>
      <c r="P9" s="19" t="s">
        <v>38</v>
      </c>
      <c r="Q9" s="20" t="s">
        <v>47</v>
      </c>
      <c r="R9" s="19" t="s">
        <v>48</v>
      </c>
      <c r="T9" s="2" t="s">
        <v>17</v>
      </c>
      <c r="U9" s="3" t="s">
        <v>24</v>
      </c>
      <c r="V9" s="2" t="s">
        <v>30</v>
      </c>
    </row>
    <row r="10" spans="2:22" ht="45" x14ac:dyDescent="0.25">
      <c r="B10" s="21" t="s">
        <v>13</v>
      </c>
      <c r="C10" s="42">
        <v>8.5000000000000006E-2</v>
      </c>
      <c r="D10" s="41">
        <f>E$3*C10</f>
        <v>255000.00000000003</v>
      </c>
      <c r="E10" s="41">
        <f>E$4*C10</f>
        <v>238000.00000000003</v>
      </c>
      <c r="F10" s="41">
        <f>E$5*C10</f>
        <v>297500</v>
      </c>
      <c r="G10" s="41">
        <f>E$6*C10</f>
        <v>153000</v>
      </c>
      <c r="P10" s="21" t="s">
        <v>13</v>
      </c>
      <c r="Q10" s="40">
        <v>8.5000000000000006E-2</v>
      </c>
      <c r="R10" s="28">
        <f>238000</f>
        <v>238000</v>
      </c>
      <c r="T10" s="4" t="s">
        <v>13</v>
      </c>
      <c r="U10" s="5" t="s">
        <v>25</v>
      </c>
      <c r="V10" s="6" t="s">
        <v>31</v>
      </c>
    </row>
    <row r="11" spans="2:22" ht="45" x14ac:dyDescent="0.25">
      <c r="B11" s="21" t="s">
        <v>39</v>
      </c>
      <c r="C11" s="43">
        <v>0.12</v>
      </c>
      <c r="D11" s="41">
        <f t="shared" ref="D11:E20" si="0">E$3*C11</f>
        <v>360000</v>
      </c>
      <c r="E11" s="41">
        <f t="shared" ref="E11:G19" si="1">E$4*C11</f>
        <v>336000</v>
      </c>
      <c r="F11" s="41">
        <f t="shared" ref="F11:F19" si="2">E$5*C11</f>
        <v>420000</v>
      </c>
      <c r="G11" s="41">
        <f t="shared" ref="G11:G19" si="3">E$6*C11</f>
        <v>216000</v>
      </c>
      <c r="P11" s="21" t="s">
        <v>39</v>
      </c>
      <c r="Q11" s="25">
        <v>0.12</v>
      </c>
      <c r="R11" s="29">
        <v>336000</v>
      </c>
      <c r="T11" s="4" t="s">
        <v>14</v>
      </c>
      <c r="U11" s="7">
        <v>0.12</v>
      </c>
      <c r="V11" s="6" t="s">
        <v>31</v>
      </c>
    </row>
    <row r="12" spans="2:22" ht="30" customHeight="1" x14ac:dyDescent="0.25">
      <c r="B12" s="21" t="s">
        <v>40</v>
      </c>
      <c r="C12" s="39">
        <v>5.2199999999999998E-3</v>
      </c>
      <c r="D12" s="41">
        <f t="shared" si="0"/>
        <v>15660</v>
      </c>
      <c r="E12" s="41">
        <f t="shared" si="1"/>
        <v>14616</v>
      </c>
      <c r="F12" s="41">
        <f t="shared" si="2"/>
        <v>18270</v>
      </c>
      <c r="G12" s="41">
        <f t="shared" si="3"/>
        <v>9396</v>
      </c>
      <c r="P12" s="21" t="s">
        <v>40</v>
      </c>
      <c r="Q12" s="45">
        <v>6.9599999999999995E-2</v>
      </c>
      <c r="R12" s="29">
        <v>194880</v>
      </c>
      <c r="T12" s="8" t="s">
        <v>15</v>
      </c>
      <c r="U12" s="5" t="s">
        <v>26</v>
      </c>
      <c r="V12" s="6" t="s">
        <v>32</v>
      </c>
    </row>
    <row r="13" spans="2:22" ht="45" x14ac:dyDescent="0.25">
      <c r="B13" s="22" t="s">
        <v>41</v>
      </c>
      <c r="C13" s="27">
        <v>0.04</v>
      </c>
      <c r="D13" s="41">
        <f t="shared" si="0"/>
        <v>120000</v>
      </c>
      <c r="E13" s="41">
        <f t="shared" si="1"/>
        <v>112000</v>
      </c>
      <c r="F13" s="41">
        <f t="shared" si="2"/>
        <v>140000</v>
      </c>
      <c r="G13" s="41">
        <f t="shared" si="3"/>
        <v>72000</v>
      </c>
      <c r="P13" s="22" t="s">
        <v>41</v>
      </c>
      <c r="Q13" s="27">
        <v>0.04</v>
      </c>
      <c r="R13" s="28">
        <v>112000</v>
      </c>
      <c r="T13" s="8" t="s">
        <v>18</v>
      </c>
      <c r="U13" s="7">
        <v>0.04</v>
      </c>
      <c r="V13" s="6" t="s">
        <v>33</v>
      </c>
    </row>
    <row r="14" spans="2:22" ht="30" x14ac:dyDescent="0.25">
      <c r="B14" s="21" t="s">
        <v>19</v>
      </c>
      <c r="C14" s="43">
        <v>0.02</v>
      </c>
      <c r="D14" s="41">
        <f t="shared" si="0"/>
        <v>60000</v>
      </c>
      <c r="E14" s="41">
        <f t="shared" si="1"/>
        <v>56000</v>
      </c>
      <c r="F14" s="41">
        <f t="shared" si="2"/>
        <v>70000</v>
      </c>
      <c r="G14" s="41">
        <f t="shared" si="3"/>
        <v>36000</v>
      </c>
      <c r="P14" s="21" t="s">
        <v>19</v>
      </c>
      <c r="Q14" s="25">
        <v>0.02</v>
      </c>
      <c r="R14" s="28">
        <v>56000</v>
      </c>
      <c r="T14" s="4" t="s">
        <v>19</v>
      </c>
      <c r="U14" s="7">
        <v>0.02</v>
      </c>
      <c r="V14" s="6" t="s">
        <v>33</v>
      </c>
    </row>
    <row r="15" spans="2:22" ht="30" x14ac:dyDescent="0.25">
      <c r="B15" s="21" t="s">
        <v>20</v>
      </c>
      <c r="C15" s="43">
        <v>0.03</v>
      </c>
      <c r="D15" s="41">
        <f t="shared" si="0"/>
        <v>90000</v>
      </c>
      <c r="E15" s="41">
        <f t="shared" si="1"/>
        <v>84000</v>
      </c>
      <c r="F15" s="41">
        <f t="shared" si="2"/>
        <v>105000</v>
      </c>
      <c r="G15" s="41">
        <f t="shared" si="3"/>
        <v>54000</v>
      </c>
      <c r="P15" s="21" t="s">
        <v>20</v>
      </c>
      <c r="Q15" s="25">
        <v>0.03</v>
      </c>
      <c r="R15" s="28">
        <v>84000</v>
      </c>
      <c r="T15" s="4" t="s">
        <v>20</v>
      </c>
      <c r="U15" s="7">
        <v>0.03</v>
      </c>
      <c r="V15" s="6" t="s">
        <v>33</v>
      </c>
    </row>
    <row r="16" spans="2:22" ht="30" x14ac:dyDescent="0.25">
      <c r="B16" s="21" t="s">
        <v>42</v>
      </c>
      <c r="C16" s="47">
        <v>8.3299999999999999E-2</v>
      </c>
      <c r="D16" s="41">
        <f>E$3*C16</f>
        <v>249900</v>
      </c>
      <c r="E16" s="41">
        <f t="shared" si="1"/>
        <v>233240</v>
      </c>
      <c r="F16" s="41">
        <f t="shared" si="2"/>
        <v>291550</v>
      </c>
      <c r="G16" s="41">
        <f t="shared" si="3"/>
        <v>149940</v>
      </c>
      <c r="P16" s="21" t="s">
        <v>42</v>
      </c>
      <c r="Q16" s="40">
        <v>8.3299999999999999E-2</v>
      </c>
      <c r="R16" s="28">
        <v>233240</v>
      </c>
      <c r="T16" s="8" t="s">
        <v>21</v>
      </c>
      <c r="U16" s="5" t="s">
        <v>27</v>
      </c>
      <c r="V16" s="6" t="s">
        <v>34</v>
      </c>
    </row>
    <row r="17" spans="2:22" ht="30" x14ac:dyDescent="0.25">
      <c r="B17" s="21" t="s">
        <v>43</v>
      </c>
      <c r="C17" s="44">
        <v>8.3299999999999999E-2</v>
      </c>
      <c r="D17" s="41">
        <f t="shared" si="0"/>
        <v>249900</v>
      </c>
      <c r="E17" s="41">
        <f t="shared" si="1"/>
        <v>233240</v>
      </c>
      <c r="F17" s="41">
        <f t="shared" si="2"/>
        <v>291550</v>
      </c>
      <c r="G17" s="41">
        <f t="shared" si="3"/>
        <v>149940</v>
      </c>
      <c r="P17" s="21" t="s">
        <v>43</v>
      </c>
      <c r="Q17" s="40">
        <v>8.3299999999999999E-2</v>
      </c>
      <c r="R17" s="28">
        <v>233240</v>
      </c>
      <c r="T17" s="4" t="s">
        <v>22</v>
      </c>
      <c r="U17" s="5" t="s">
        <v>27</v>
      </c>
      <c r="V17" s="6" t="s">
        <v>34</v>
      </c>
    </row>
    <row r="18" spans="2:22" ht="45" x14ac:dyDescent="0.25">
      <c r="B18" s="22" t="s">
        <v>44</v>
      </c>
      <c r="C18" s="43">
        <v>0.01</v>
      </c>
      <c r="D18" s="41">
        <f t="shared" si="0"/>
        <v>30000</v>
      </c>
      <c r="E18" s="41">
        <f t="shared" si="1"/>
        <v>28000</v>
      </c>
      <c r="F18" s="41">
        <f t="shared" si="2"/>
        <v>35000</v>
      </c>
      <c r="G18" s="41">
        <f t="shared" si="3"/>
        <v>18000</v>
      </c>
      <c r="P18" s="22" t="s">
        <v>44</v>
      </c>
      <c r="Q18" s="25">
        <v>0.01</v>
      </c>
      <c r="R18" s="28">
        <v>28000</v>
      </c>
      <c r="T18" s="8" t="s">
        <v>23</v>
      </c>
      <c r="U18" s="7">
        <v>0.01</v>
      </c>
      <c r="V18" s="6" t="s">
        <v>34</v>
      </c>
    </row>
    <row r="19" spans="2:22" ht="30" x14ac:dyDescent="0.25">
      <c r="B19" s="21" t="s">
        <v>28</v>
      </c>
      <c r="C19" s="44">
        <v>4.1700000000000001E-2</v>
      </c>
      <c r="D19" s="41">
        <f t="shared" si="0"/>
        <v>125100</v>
      </c>
      <c r="E19" s="41">
        <f t="shared" si="1"/>
        <v>116760</v>
      </c>
      <c r="F19" s="41">
        <f t="shared" si="2"/>
        <v>145950</v>
      </c>
      <c r="G19" s="41">
        <f t="shared" si="3"/>
        <v>75060</v>
      </c>
      <c r="P19" s="21" t="s">
        <v>28</v>
      </c>
      <c r="Q19" s="40">
        <v>4.1700000000000001E-2</v>
      </c>
      <c r="R19" s="28">
        <v>116760</v>
      </c>
      <c r="T19" s="4" t="s">
        <v>28</v>
      </c>
      <c r="U19" s="5" t="s">
        <v>29</v>
      </c>
      <c r="V19" s="6" t="s">
        <v>34</v>
      </c>
    </row>
    <row r="20" spans="2:22" x14ac:dyDescent="0.25">
      <c r="B20" s="23" t="s">
        <v>45</v>
      </c>
      <c r="C20" s="44"/>
      <c r="D20" s="41">
        <f>SUM(D10:D19)</f>
        <v>1555560</v>
      </c>
      <c r="E20" s="41">
        <f t="shared" ref="E20:G20" si="4">SUM(E10:E19)</f>
        <v>1451856</v>
      </c>
      <c r="F20" s="41">
        <f>SUM(F10+F11+F12+F13+F14+F15+F16+F17+F19+F18)</f>
        <v>1814820</v>
      </c>
      <c r="G20" s="41">
        <f>SUM(G10+G11+G12+G13+G14+G15+G16+G17+G19+G18)</f>
        <v>933336</v>
      </c>
      <c r="P20" s="23" t="s">
        <v>45</v>
      </c>
      <c r="Q20" s="40">
        <v>0.58289999999999997</v>
      </c>
      <c r="R20" s="28">
        <v>1632120</v>
      </c>
    </row>
    <row r="23" spans="2:22" x14ac:dyDescent="0.25">
      <c r="B23" s="31" t="s">
        <v>50</v>
      </c>
      <c r="C23" s="31"/>
      <c r="D23" s="31"/>
      <c r="F23" s="31" t="s">
        <v>51</v>
      </c>
      <c r="G23" s="31"/>
      <c r="H23" s="31"/>
    </row>
    <row r="24" spans="2:22" ht="30" x14ac:dyDescent="0.25">
      <c r="B24" s="19" t="s">
        <v>38</v>
      </c>
      <c r="C24" s="20" t="s">
        <v>47</v>
      </c>
      <c r="D24" s="20" t="s">
        <v>48</v>
      </c>
      <c r="F24" s="19" t="s">
        <v>38</v>
      </c>
      <c r="G24" s="20" t="s">
        <v>47</v>
      </c>
      <c r="H24" s="19" t="s">
        <v>48</v>
      </c>
    </row>
    <row r="25" spans="2:22" x14ac:dyDescent="0.25">
      <c r="B25" s="21" t="s">
        <v>13</v>
      </c>
      <c r="C25" s="24" t="s">
        <v>25</v>
      </c>
      <c r="D25" s="12">
        <v>297500</v>
      </c>
      <c r="F25" s="21" t="s">
        <v>13</v>
      </c>
      <c r="G25" s="24" t="s">
        <v>25</v>
      </c>
      <c r="H25" s="30">
        <v>153000</v>
      </c>
    </row>
    <row r="26" spans="2:22" x14ac:dyDescent="0.25">
      <c r="B26" s="21" t="s">
        <v>39</v>
      </c>
      <c r="C26" s="25">
        <v>0.12</v>
      </c>
      <c r="D26" s="12">
        <v>420000</v>
      </c>
      <c r="F26" s="21" t="s">
        <v>39</v>
      </c>
      <c r="G26" s="25">
        <v>0.12</v>
      </c>
      <c r="H26" s="30">
        <v>216000</v>
      </c>
    </row>
    <row r="27" spans="2:22" x14ac:dyDescent="0.25">
      <c r="B27" s="21" t="s">
        <v>40</v>
      </c>
      <c r="C27" s="26" t="s">
        <v>26</v>
      </c>
      <c r="D27" s="12">
        <v>243600</v>
      </c>
      <c r="F27" s="21" t="s">
        <v>40</v>
      </c>
      <c r="G27" s="26" t="s">
        <v>26</v>
      </c>
      <c r="H27" s="30">
        <v>125280</v>
      </c>
    </row>
    <row r="28" spans="2:22" ht="30" x14ac:dyDescent="0.25">
      <c r="B28" s="22" t="s">
        <v>41</v>
      </c>
      <c r="C28" s="27">
        <v>0.04</v>
      </c>
      <c r="D28" s="12">
        <v>140000</v>
      </c>
      <c r="F28" s="22" t="s">
        <v>41</v>
      </c>
      <c r="G28" s="27">
        <v>0.04</v>
      </c>
      <c r="H28" s="30">
        <v>72000</v>
      </c>
    </row>
    <row r="29" spans="2:22" x14ac:dyDescent="0.25">
      <c r="B29" s="21" t="s">
        <v>19</v>
      </c>
      <c r="C29" s="25">
        <v>0.02</v>
      </c>
      <c r="D29" s="12">
        <v>70000</v>
      </c>
      <c r="F29" s="21" t="s">
        <v>19</v>
      </c>
      <c r="G29" s="25">
        <v>0.02</v>
      </c>
      <c r="H29" s="30">
        <v>36000</v>
      </c>
    </row>
    <row r="30" spans="2:22" x14ac:dyDescent="0.25">
      <c r="B30" s="21" t="s">
        <v>20</v>
      </c>
      <c r="C30" s="25">
        <v>0.03</v>
      </c>
      <c r="D30" s="12">
        <v>105000</v>
      </c>
      <c r="F30" s="21" t="s">
        <v>20</v>
      </c>
      <c r="G30" s="25">
        <v>0.03</v>
      </c>
      <c r="H30" s="30">
        <v>54000</v>
      </c>
    </row>
    <row r="31" spans="2:22" x14ac:dyDescent="0.25">
      <c r="B31" s="21" t="s">
        <v>42</v>
      </c>
      <c r="C31" s="24" t="s">
        <v>27</v>
      </c>
      <c r="D31" s="12">
        <v>291550</v>
      </c>
      <c r="F31" s="21" t="s">
        <v>42</v>
      </c>
      <c r="G31" s="24" t="s">
        <v>27</v>
      </c>
      <c r="H31" s="30">
        <v>149940</v>
      </c>
    </row>
    <row r="32" spans="2:22" x14ac:dyDescent="0.25">
      <c r="B32" s="21" t="s">
        <v>43</v>
      </c>
      <c r="C32" s="24" t="s">
        <v>27</v>
      </c>
      <c r="D32" s="12">
        <v>291550</v>
      </c>
      <c r="F32" s="21" t="s">
        <v>43</v>
      </c>
      <c r="G32" s="24" t="s">
        <v>27</v>
      </c>
      <c r="H32" s="30">
        <v>149940</v>
      </c>
    </row>
    <row r="33" spans="2:8" ht="30" x14ac:dyDescent="0.25">
      <c r="B33" s="22" t="s">
        <v>44</v>
      </c>
      <c r="C33" s="25">
        <v>0.01</v>
      </c>
      <c r="D33" s="12">
        <v>35000</v>
      </c>
      <c r="F33" s="22" t="s">
        <v>44</v>
      </c>
      <c r="G33" s="25">
        <v>0.01</v>
      </c>
      <c r="H33" s="30">
        <v>18000</v>
      </c>
    </row>
    <row r="34" spans="2:8" x14ac:dyDescent="0.25">
      <c r="B34" s="21" t="s">
        <v>28</v>
      </c>
      <c r="C34" s="24" t="s">
        <v>29</v>
      </c>
      <c r="D34" s="12">
        <v>145950</v>
      </c>
      <c r="F34" s="21" t="s">
        <v>28</v>
      </c>
      <c r="G34" s="24" t="s">
        <v>29</v>
      </c>
      <c r="H34" s="30">
        <v>75060</v>
      </c>
    </row>
    <row r="35" spans="2:8" x14ac:dyDescent="0.25">
      <c r="B35" s="23"/>
      <c r="C35" s="24" t="s">
        <v>49</v>
      </c>
      <c r="D35" s="12">
        <v>2039150</v>
      </c>
      <c r="F35" s="23"/>
      <c r="G35" s="24" t="s">
        <v>49</v>
      </c>
      <c r="H35" s="30">
        <v>1049220</v>
      </c>
    </row>
    <row r="46" spans="2:8" x14ac:dyDescent="0.25">
      <c r="B46" s="14" t="s">
        <v>13</v>
      </c>
    </row>
    <row r="47" spans="2:8" x14ac:dyDescent="0.25">
      <c r="B47" s="14" t="s">
        <v>39</v>
      </c>
    </row>
    <row r="48" spans="2:8" x14ac:dyDescent="0.25">
      <c r="B48" s="14" t="s">
        <v>40</v>
      </c>
    </row>
    <row r="49" spans="2:2" ht="30" x14ac:dyDescent="0.25">
      <c r="B49" s="15" t="s">
        <v>41</v>
      </c>
    </row>
    <row r="50" spans="2:2" x14ac:dyDescent="0.25">
      <c r="B50" s="14" t="s">
        <v>19</v>
      </c>
    </row>
    <row r="51" spans="2:2" x14ac:dyDescent="0.25">
      <c r="B51" s="14" t="s">
        <v>20</v>
      </c>
    </row>
    <row r="52" spans="2:2" x14ac:dyDescent="0.25">
      <c r="B52" s="14" t="s">
        <v>42</v>
      </c>
    </row>
    <row r="53" spans="2:2" x14ac:dyDescent="0.25">
      <c r="B53" s="14" t="s">
        <v>43</v>
      </c>
    </row>
    <row r="54" spans="2:2" ht="30" x14ac:dyDescent="0.25">
      <c r="B54" s="15" t="s">
        <v>44</v>
      </c>
    </row>
    <row r="55" spans="2:2" x14ac:dyDescent="0.25">
      <c r="B55" s="14" t="s">
        <v>28</v>
      </c>
    </row>
    <row r="56" spans="2:2" x14ac:dyDescent="0.25">
      <c r="B56" s="14" t="s">
        <v>45</v>
      </c>
    </row>
  </sheetData>
  <mergeCells count="5">
    <mergeCell ref="B8:D8"/>
    <mergeCell ref="P8:R8"/>
    <mergeCell ref="B23:D23"/>
    <mergeCell ref="F23:H23"/>
    <mergeCell ref="T8:V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EADBE-B4AE-4F9B-87E8-5D2F0560DF26}">
  <dimension ref="A1"/>
  <sheetViews>
    <sheetView workbookViewId="0">
      <selection activeCell="F6" sqref="F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Costos empleados</vt:lpstr>
      <vt:lpstr>Fichas técnicas.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2026-03-16T22:14:24Z</dcterms:created>
  <dcterms:modified xsi:type="dcterms:W3CDTF">2026-03-17T22:30:15Z</dcterms:modified>
</cp:coreProperties>
</file>